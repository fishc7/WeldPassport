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codeName="ЭтаКнига" defaultThemeVersion="124226"/>
  <xr:revisionPtr revIDLastSave="0" documentId="13_ncr:1_{C360DEDB-6069-43B2-93D2-C4DCE07880D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МАЙ" sheetId="4" r:id="rId1"/>
    <sheet name="Лист1" sheetId="5" r:id="rId2"/>
  </sheets>
  <definedNames>
    <definedName name="_xlnm._FilterDatabase" localSheetId="1" hidden="1">Лист1!$B$3:$C$20</definedName>
    <definedName name="_xlnm._FilterDatabase" localSheetId="0" hidden="1">МАЙ!$A$9:$AK$49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45" i="4" l="1"/>
  <c r="AJ45" i="4" s="1"/>
  <c r="AI4" i="4" l="1"/>
  <c r="AJ4" i="4" s="1"/>
  <c r="AI13" i="4" l="1"/>
  <c r="AJ13" i="4" s="1"/>
  <c r="AI48" i="4"/>
  <c r="AJ48" i="4" s="1"/>
  <c r="AI47" i="4"/>
  <c r="AJ47" i="4" s="1"/>
  <c r="AI44" i="4"/>
  <c r="AJ44" i="4" s="1"/>
  <c r="AI43" i="4"/>
  <c r="AJ43" i="4" s="1"/>
  <c r="AI38" i="4"/>
  <c r="AJ38" i="4" s="1"/>
  <c r="AI37" i="4"/>
  <c r="AJ37" i="4" s="1"/>
  <c r="AI35" i="4"/>
  <c r="AJ35" i="4" s="1"/>
  <c r="AI34" i="4"/>
  <c r="AJ34" i="4" s="1"/>
  <c r="AI31" i="4"/>
  <c r="AJ31" i="4" s="1"/>
  <c r="AI30" i="4"/>
  <c r="AJ30" i="4" s="1"/>
  <c r="AI29" i="4"/>
  <c r="AJ29" i="4" s="1"/>
  <c r="AI28" i="4"/>
  <c r="AJ28" i="4" s="1"/>
  <c r="AI24" i="4"/>
  <c r="AJ24" i="4" s="1"/>
  <c r="AI23" i="4"/>
  <c r="AJ23" i="4" s="1"/>
  <c r="AI20" i="4"/>
  <c r="AJ20" i="4" s="1"/>
  <c r="AI19" i="4"/>
  <c r="AJ19" i="4" s="1"/>
  <c r="AI18" i="4"/>
  <c r="AJ18" i="4" s="1"/>
  <c r="AI17" i="4"/>
  <c r="AJ17" i="4" s="1"/>
  <c r="AI15" i="4"/>
  <c r="AJ15" i="4" s="1"/>
  <c r="AI12" i="4"/>
  <c r="AJ12" i="4" s="1"/>
  <c r="AI11" i="4"/>
  <c r="AJ11" i="4" s="1"/>
  <c r="AI10" i="4"/>
  <c r="AJ10" i="4" s="1"/>
  <c r="AI8" i="4"/>
  <c r="AJ8" i="4" s="1"/>
  <c r="AI46" i="4"/>
  <c r="AJ46" i="4" s="1"/>
  <c r="AI25" i="4"/>
  <c r="AJ25" i="4" s="1"/>
  <c r="AI27" i="4"/>
  <c r="AJ27" i="4" s="1"/>
  <c r="AI21" i="4"/>
  <c r="AJ21" i="4" s="1"/>
  <c r="AI22" i="4"/>
  <c r="AJ22" i="4" s="1"/>
  <c r="AI26" i="4"/>
  <c r="AJ26" i="4" s="1"/>
  <c r="AI40" i="4"/>
  <c r="AJ40" i="4" s="1"/>
  <c r="AI49" i="4"/>
  <c r="AJ49" i="4" s="1"/>
  <c r="AI42" i="4"/>
  <c r="AJ42" i="4" s="1"/>
  <c r="AI41" i="4"/>
  <c r="AJ41" i="4" s="1"/>
  <c r="AI39" i="4"/>
  <c r="AJ39" i="4" s="1"/>
  <c r="AI36" i="4"/>
  <c r="AJ36" i="4" s="1"/>
  <c r="AI33" i="4"/>
  <c r="AJ33" i="4" s="1"/>
  <c r="AI32" i="4"/>
  <c r="AJ32" i="4" s="1"/>
  <c r="AI16" i="4"/>
  <c r="AJ16" i="4" s="1"/>
  <c r="AI14" i="4"/>
  <c r="AJ14" i="4" s="1"/>
  <c r="AI7" i="4"/>
  <c r="AJ7" i="4" s="1"/>
  <c r="AI6" i="4"/>
  <c r="AJ6" i="4" s="1"/>
  <c r="AI5" i="4"/>
  <c r="AJ5" i="4" s="1"/>
</calcChain>
</file>

<file path=xl/sharedStrings.xml><?xml version="1.0" encoding="utf-8"?>
<sst xmlns="http://schemas.openxmlformats.org/spreadsheetml/2006/main" count="864" uniqueCount="67">
  <si>
    <t>ФИО</t>
  </si>
  <si>
    <t>Должность</t>
  </si>
  <si>
    <t>Итого часов:</t>
  </si>
  <si>
    <t>Итого Дней=</t>
  </si>
  <si>
    <t>КТУ</t>
  </si>
  <si>
    <t>Клименко Сергей Александрович</t>
  </si>
  <si>
    <t>мастер СМР</t>
  </si>
  <si>
    <t>В</t>
  </si>
  <si>
    <t>Петербургский Владимир Валерьевич</t>
  </si>
  <si>
    <t>Гончаров Игорь Сергеевич</t>
  </si>
  <si>
    <t>мастер ПРР</t>
  </si>
  <si>
    <t xml:space="preserve">Власов Юрий Николаевич </t>
  </si>
  <si>
    <t>монтажник</t>
  </si>
  <si>
    <t>МВ</t>
  </si>
  <si>
    <t>Колесник  Михаил</t>
  </si>
  <si>
    <t>Межиев Ризоудин Асланович</t>
  </si>
  <si>
    <t>Прошкин Владимир Викторович</t>
  </si>
  <si>
    <t>Механик</t>
  </si>
  <si>
    <t>Щербина Владимир Владимирович</t>
  </si>
  <si>
    <t>кладовщик</t>
  </si>
  <si>
    <t>Ержанов Арсен</t>
  </si>
  <si>
    <t>Козлов Евгений Леонидович</t>
  </si>
  <si>
    <t>Башев Александр Александрович</t>
  </si>
  <si>
    <t>Шепетов Валерий Михайлович</t>
  </si>
  <si>
    <t>Шакаров Альберт Маисович</t>
  </si>
  <si>
    <t>Гуськов Павел Владимирович</t>
  </si>
  <si>
    <t>Лысенко Денис Борисович</t>
  </si>
  <si>
    <t>Строкин Александр Алексеевич</t>
  </si>
  <si>
    <t>Сухушин Сергей Анатольевич</t>
  </si>
  <si>
    <t>Узинцев Иван Владимирович</t>
  </si>
  <si>
    <t>Строкин Дмитрий Сергеевич</t>
  </si>
  <si>
    <t>Коваленко Анатолий Викторович</t>
  </si>
  <si>
    <t>Зиньков Андрей Андреевич</t>
  </si>
  <si>
    <t>Зиньков Семен Андреевич</t>
  </si>
  <si>
    <t>Козлов Дмитрий Юрьевич</t>
  </si>
  <si>
    <t>Басанов Александр Эренсенович</t>
  </si>
  <si>
    <t>Ефимович Константин Валерьевич</t>
  </si>
  <si>
    <t>Казанцев Валерий Николаевич</t>
  </si>
  <si>
    <t>Полкунов Валерий Николаевич</t>
  </si>
  <si>
    <t>Литеев Иван Васильевич</t>
  </si>
  <si>
    <t>Шакаров Маис Владимирович</t>
  </si>
  <si>
    <t>Вараксин Валентин Юрьевич</t>
  </si>
  <si>
    <t>А</t>
  </si>
  <si>
    <t>мв</t>
  </si>
  <si>
    <t xml:space="preserve">Ахметов Канат Мухтарович </t>
  </si>
  <si>
    <t>титул 60</t>
  </si>
  <si>
    <t>Демин Андрей</t>
  </si>
  <si>
    <t>Исенов Булат Тулетаевич</t>
  </si>
  <si>
    <t>Табель учета МАЙ 2026.</t>
  </si>
  <si>
    <t>Д</t>
  </si>
  <si>
    <t>Фокин Константин Александрович</t>
  </si>
  <si>
    <t>Фебенчуков Сергей Алексеевич</t>
  </si>
  <si>
    <t>Чурин Александр Владимирович</t>
  </si>
  <si>
    <t>Шакаров Владимир Маисович</t>
  </si>
  <si>
    <t>Сатбалдиев Жаслан Тлектесович</t>
  </si>
  <si>
    <t xml:space="preserve">Прошкин Сергей Николаевич </t>
  </si>
  <si>
    <t>Мойченков Михаил Евгеньевич</t>
  </si>
  <si>
    <t>Леонов Евгений Андреевич</t>
  </si>
  <si>
    <t>Кубко Юрий Александрович</t>
  </si>
  <si>
    <t>Карпунков Кирилл Алексеевич</t>
  </si>
  <si>
    <t>Душаков Андрей Владимирович</t>
  </si>
  <si>
    <t>Галынский Евгений Евгеньевич</t>
  </si>
  <si>
    <t>эл/сварщик</t>
  </si>
  <si>
    <t>Б</t>
  </si>
  <si>
    <t>тит.60</t>
  </si>
  <si>
    <t>Титул 12460</t>
  </si>
  <si>
    <t>Титул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</si>
</sst>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m\.yy"/>
  </numFmts>
  <fonts count="7" x14ac:knownFonts="1">
    <font>
      <sz val="11"/>
      <color theme="1"/>
      <name val="Calibri"/>
      <family val="2"/>
      <scheme val="minor"/>
    </font>
    <font>
      <b/>
      <sz val="16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6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vertical="center" wrapText="1"/>
    </xf>
    <xf numFmtId="164" fontId="1" fillId="2" borderId="2" xfId="0" applyNumberFormat="1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1" fontId="2" fillId="6" borderId="2" xfId="0" applyNumberFormat="1" applyFont="1" applyFill="1" applyBorder="1" applyAlignment="1">
      <alignment horizontal="center" vertical="center"/>
    </xf>
    <xf numFmtId="1" fontId="3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1" fontId="3" fillId="6" borderId="1" xfId="0" applyNumberFormat="1" applyFont="1" applyFill="1" applyBorder="1" applyAlignment="1">
      <alignment vertical="center"/>
    </xf>
    <xf numFmtId="1" fontId="3" fillId="0" borderId="1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0" fillId="7" borderId="1" xfId="0" applyFill="1" applyBorder="1"/>
    <xf numFmtId="1" fontId="3" fillId="5" borderId="10" xfId="0" applyNumberFormat="1" applyFont="1" applyFill="1" applyBorder="1" applyAlignment="1">
      <alignment horizontal="center" vertical="center"/>
    </xf>
    <xf numFmtId="1" fontId="3" fillId="5" borderId="11" xfId="0" applyNumberFormat="1" applyFont="1" applyFill="1" applyBorder="1" applyAlignment="1">
      <alignment horizontal="center" vertical="center"/>
    </xf>
    <xf numFmtId="1" fontId="3" fillId="5" borderId="12" xfId="0" applyNumberFormat="1" applyFont="1" applyFill="1" applyBorder="1" applyAlignment="1">
      <alignment horizontal="center" vertical="center"/>
    </xf>
    <xf numFmtId="1" fontId="3" fillId="6" borderId="10" xfId="0" applyNumberFormat="1" applyFont="1" applyFill="1" applyBorder="1" applyAlignment="1">
      <alignment horizontal="center" vertical="center"/>
    </xf>
    <xf numFmtId="1" fontId="3" fillId="6" borderId="11" xfId="0" applyNumberFormat="1" applyFont="1" applyFill="1" applyBorder="1" applyAlignment="1">
      <alignment horizontal="center" vertical="center"/>
    </xf>
    <xf numFmtId="1" fontId="3" fillId="6" borderId="12" xfId="0" applyNumberFormat="1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165" fontId="1" fillId="2" borderId="4" xfId="0" applyNumberFormat="1" applyFont="1" applyFill="1" applyBorder="1" applyAlignment="1">
      <alignment horizontal="center" vertical="center" wrapText="1"/>
    </xf>
    <xf numFmtId="165" fontId="1" fillId="2" borderId="5" xfId="0" applyNumberFormat="1" applyFont="1" applyFill="1" applyBorder="1" applyAlignment="1">
      <alignment horizontal="center" vertical="center" wrapText="1"/>
    </xf>
    <xf numFmtId="165" fontId="1" fillId="2" borderId="6" xfId="0" applyNumberFormat="1" applyFont="1" applyFill="1" applyBorder="1" applyAlignment="1">
      <alignment horizontal="center" vertical="center" wrapText="1"/>
    </xf>
    <xf numFmtId="165" fontId="1" fillId="2" borderId="7" xfId="0" applyNumberFormat="1" applyFont="1" applyFill="1" applyBorder="1" applyAlignment="1">
      <alignment horizontal="center" vertical="center" wrapText="1"/>
    </xf>
    <xf numFmtId="165" fontId="1" fillId="2" borderId="8" xfId="0" applyNumberFormat="1" applyFont="1" applyFill="1" applyBorder="1" applyAlignment="1">
      <alignment horizontal="center" vertical="center" wrapText="1"/>
    </xf>
    <xf numFmtId="165" fontId="1" fillId="2" borderId="9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7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AK49"/>
  <sheetViews>
    <sheetView tabSelected="1" zoomScale="70" zoomScaleNormal="70" workbookViewId="0">
      <pane ySplit="3" topLeftCell="A4" activePane="bottomLeft" state="frozen"/>
      <selection pane="bottomLeft" activeCell="U41" sqref="U41"/>
    </sheetView>
  </sheetViews>
  <sheetFormatPr defaultColWidth="8.85546875" defaultRowHeight="20.25" x14ac:dyDescent="0.25"/>
  <cols>
    <col min="1" max="1" width="8.28515625" style="13" customWidth="1"/>
    <col min="2" max="2" width="47.85546875" style="13" customWidth="1"/>
    <col min="3" max="3" width="27.140625" style="13" customWidth="1"/>
    <col min="4" max="34" width="5.7109375" style="13" customWidth="1"/>
    <col min="35" max="35" width="10.28515625" style="17" customWidth="1"/>
    <col min="36" max="36" width="10.5703125" style="17" customWidth="1"/>
    <col min="37" max="37" width="8.5703125" style="17" customWidth="1"/>
    <col min="38" max="16384" width="8.85546875" style="13"/>
  </cols>
  <sheetData>
    <row r="1" spans="1:37" ht="24" customHeight="1" x14ac:dyDescent="0.25">
      <c r="A1" s="51"/>
      <c r="B1" s="52" t="s">
        <v>0</v>
      </c>
      <c r="C1" s="53" t="s">
        <v>1</v>
      </c>
      <c r="D1" s="55" t="s">
        <v>48</v>
      </c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7"/>
      <c r="AI1" s="50" t="s">
        <v>2</v>
      </c>
      <c r="AJ1" s="50" t="s">
        <v>3</v>
      </c>
      <c r="AK1" s="51" t="s">
        <v>4</v>
      </c>
    </row>
    <row r="2" spans="1:37" ht="24" customHeight="1" x14ac:dyDescent="0.25">
      <c r="A2" s="51"/>
      <c r="B2" s="52"/>
      <c r="C2" s="54"/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60"/>
      <c r="AI2" s="50"/>
      <c r="AJ2" s="50"/>
      <c r="AK2" s="51"/>
    </row>
    <row r="3" spans="1:37" ht="24" customHeight="1" x14ac:dyDescent="0.25">
      <c r="A3" s="51"/>
      <c r="B3" s="5"/>
      <c r="C3" s="6"/>
      <c r="D3" s="19">
        <v>1</v>
      </c>
      <c r="E3" s="19">
        <v>2</v>
      </c>
      <c r="F3" s="29">
        <v>3</v>
      </c>
      <c r="G3" s="19">
        <v>4</v>
      </c>
      <c r="H3" s="19">
        <v>5</v>
      </c>
      <c r="I3" s="19">
        <v>6</v>
      </c>
      <c r="J3" s="20">
        <v>7</v>
      </c>
      <c r="K3" s="19">
        <v>8</v>
      </c>
      <c r="L3" s="19">
        <v>9</v>
      </c>
      <c r="M3" s="29">
        <v>10</v>
      </c>
      <c r="N3" s="19">
        <v>11</v>
      </c>
      <c r="O3" s="19">
        <v>12</v>
      </c>
      <c r="P3" s="21">
        <v>13</v>
      </c>
      <c r="Q3" s="19">
        <v>14</v>
      </c>
      <c r="R3" s="19">
        <v>15</v>
      </c>
      <c r="S3" s="19">
        <v>16</v>
      </c>
      <c r="T3" s="29">
        <v>17</v>
      </c>
      <c r="U3" s="19">
        <v>18</v>
      </c>
      <c r="V3" s="19">
        <v>19</v>
      </c>
      <c r="W3" s="19">
        <v>20</v>
      </c>
      <c r="X3" s="19">
        <v>21</v>
      </c>
      <c r="Y3" s="19">
        <v>22</v>
      </c>
      <c r="Z3" s="19">
        <v>23</v>
      </c>
      <c r="AA3" s="29">
        <v>24</v>
      </c>
      <c r="AB3" s="19">
        <v>25</v>
      </c>
      <c r="AC3" s="19">
        <v>26</v>
      </c>
      <c r="AD3" s="19">
        <v>27</v>
      </c>
      <c r="AE3" s="19">
        <v>28</v>
      </c>
      <c r="AF3" s="19">
        <v>29</v>
      </c>
      <c r="AG3" s="19">
        <v>30</v>
      </c>
      <c r="AH3" s="19">
        <v>31</v>
      </c>
      <c r="AI3" s="22"/>
      <c r="AJ3" s="22"/>
      <c r="AK3" s="23"/>
    </row>
    <row r="4" spans="1:37" ht="22.15" customHeight="1" x14ac:dyDescent="0.25">
      <c r="A4" s="12">
        <v>1</v>
      </c>
      <c r="B4" s="27" t="s">
        <v>5</v>
      </c>
      <c r="C4" s="9" t="s">
        <v>6</v>
      </c>
      <c r="D4" s="41" t="s">
        <v>64</v>
      </c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3"/>
      <c r="AB4" s="8"/>
      <c r="AC4" s="8"/>
      <c r="AD4" s="8"/>
      <c r="AE4" s="8"/>
      <c r="AF4" s="8"/>
      <c r="AG4" s="8"/>
      <c r="AH4" s="30"/>
      <c r="AI4" s="8">
        <f>SUM(D4:AH4)</f>
        <v>0</v>
      </c>
      <c r="AJ4" s="12">
        <f>COUNT(D4:AI4)</f>
        <v>1</v>
      </c>
      <c r="AK4" s="12"/>
    </row>
    <row r="5" spans="1:37" ht="22.15" customHeight="1" x14ac:dyDescent="0.25">
      <c r="A5" s="12">
        <v>2</v>
      </c>
      <c r="B5" s="28" t="s">
        <v>9</v>
      </c>
      <c r="C5" s="9" t="s">
        <v>10</v>
      </c>
      <c r="D5" s="8" t="s">
        <v>43</v>
      </c>
      <c r="E5" s="8" t="s">
        <v>43</v>
      </c>
      <c r="F5" s="30" t="s">
        <v>43</v>
      </c>
      <c r="G5" s="8" t="s">
        <v>43</v>
      </c>
      <c r="H5" s="8" t="s">
        <v>43</v>
      </c>
      <c r="I5" s="8" t="s">
        <v>43</v>
      </c>
      <c r="J5" s="8" t="s">
        <v>43</v>
      </c>
      <c r="K5" s="8" t="s">
        <v>43</v>
      </c>
      <c r="L5" s="10" t="s">
        <v>7</v>
      </c>
      <c r="M5" s="10" t="s">
        <v>7</v>
      </c>
      <c r="N5" s="8">
        <v>11</v>
      </c>
      <c r="O5" s="8">
        <v>11</v>
      </c>
      <c r="P5" s="8">
        <v>11</v>
      </c>
      <c r="Q5" s="8">
        <v>11</v>
      </c>
      <c r="R5" s="8">
        <v>11</v>
      </c>
      <c r="S5" s="8"/>
      <c r="T5" s="30"/>
      <c r="U5" s="8"/>
      <c r="V5" s="8"/>
      <c r="W5" s="8"/>
      <c r="X5" s="8"/>
      <c r="Y5" s="8"/>
      <c r="Z5" s="8"/>
      <c r="AA5" s="30"/>
      <c r="AB5" s="8"/>
      <c r="AC5" s="8"/>
      <c r="AD5" s="8"/>
      <c r="AE5" s="8"/>
      <c r="AF5" s="8"/>
      <c r="AG5" s="8"/>
      <c r="AH5" s="30"/>
      <c r="AI5" s="12">
        <f t="shared" ref="AI5" si="0">SUM(D5:AH5)</f>
        <v>55</v>
      </c>
      <c r="AJ5" s="12">
        <f t="shared" ref="AJ5:AJ49" si="1">COUNT(D5:AI5)</f>
        <v>6</v>
      </c>
      <c r="AK5" s="4"/>
    </row>
    <row r="6" spans="1:37" ht="22.15" customHeight="1" x14ac:dyDescent="0.25">
      <c r="A6" s="12">
        <v>3</v>
      </c>
      <c r="B6" s="28" t="s">
        <v>21</v>
      </c>
      <c r="C6" s="9" t="s">
        <v>6</v>
      </c>
      <c r="D6" s="9" t="s">
        <v>43</v>
      </c>
      <c r="E6" s="9" t="s">
        <v>43</v>
      </c>
      <c r="F6" s="31" t="s">
        <v>43</v>
      </c>
      <c r="G6" s="9" t="s">
        <v>43</v>
      </c>
      <c r="H6" s="9" t="s">
        <v>43</v>
      </c>
      <c r="I6" s="9" t="s">
        <v>43</v>
      </c>
      <c r="J6" s="9" t="s">
        <v>43</v>
      </c>
      <c r="K6" s="9" t="s">
        <v>43</v>
      </c>
      <c r="L6" s="9" t="s">
        <v>43</v>
      </c>
      <c r="M6" s="31" t="s">
        <v>43</v>
      </c>
      <c r="N6" s="9" t="s">
        <v>43</v>
      </c>
      <c r="O6" s="9" t="s">
        <v>43</v>
      </c>
      <c r="P6" s="9" t="s">
        <v>43</v>
      </c>
      <c r="Q6" s="9" t="s">
        <v>43</v>
      </c>
      <c r="R6" s="9" t="s">
        <v>43</v>
      </c>
      <c r="S6" s="9"/>
      <c r="T6" s="31"/>
      <c r="U6" s="9"/>
      <c r="V6" s="9"/>
      <c r="W6" s="9"/>
      <c r="X6" s="9"/>
      <c r="Y6" s="9"/>
      <c r="Z6" s="9"/>
      <c r="AA6" s="31"/>
      <c r="AB6" s="9"/>
      <c r="AC6" s="9"/>
      <c r="AD6" s="9"/>
      <c r="AE6" s="9"/>
      <c r="AF6" s="9"/>
      <c r="AG6" s="9"/>
      <c r="AH6" s="31"/>
      <c r="AI6" s="12">
        <f>SUM(D6:AH6)</f>
        <v>0</v>
      </c>
      <c r="AJ6" s="12">
        <f t="shared" si="1"/>
        <v>1</v>
      </c>
      <c r="AK6" s="12"/>
    </row>
    <row r="7" spans="1:37" ht="22.15" customHeight="1" x14ac:dyDescent="0.25">
      <c r="A7" s="12">
        <v>4</v>
      </c>
      <c r="B7" s="27" t="s">
        <v>23</v>
      </c>
      <c r="C7" s="9" t="s">
        <v>17</v>
      </c>
      <c r="D7" s="8">
        <v>11</v>
      </c>
      <c r="E7" s="8">
        <v>11</v>
      </c>
      <c r="F7" s="10" t="s">
        <v>7</v>
      </c>
      <c r="G7" s="8">
        <v>11</v>
      </c>
      <c r="H7" s="8">
        <v>11</v>
      </c>
      <c r="I7" s="8">
        <v>11</v>
      </c>
      <c r="J7" s="8">
        <v>11</v>
      </c>
      <c r="K7" s="8">
        <v>11</v>
      </c>
      <c r="L7" s="10" t="s">
        <v>7</v>
      </c>
      <c r="M7" s="10" t="s">
        <v>7</v>
      </c>
      <c r="N7" s="8">
        <v>11</v>
      </c>
      <c r="O7" s="8">
        <v>11</v>
      </c>
      <c r="P7" s="8">
        <v>11</v>
      </c>
      <c r="Q7" s="8">
        <v>11</v>
      </c>
      <c r="R7" s="8">
        <v>11</v>
      </c>
      <c r="S7" s="8"/>
      <c r="T7" s="30"/>
      <c r="U7" s="8"/>
      <c r="V7" s="8"/>
      <c r="W7" s="8"/>
      <c r="X7" s="8"/>
      <c r="Y7" s="8"/>
      <c r="Z7" s="8"/>
      <c r="AA7" s="30"/>
      <c r="AB7" s="8"/>
      <c r="AC7" s="8"/>
      <c r="AD7" s="8"/>
      <c r="AE7" s="8"/>
      <c r="AF7" s="8"/>
      <c r="AG7" s="8"/>
      <c r="AH7" s="30"/>
      <c r="AI7" s="12">
        <f>SUM(D7:AH7)</f>
        <v>132</v>
      </c>
      <c r="AJ7" s="12">
        <f t="shared" si="1"/>
        <v>13</v>
      </c>
      <c r="AK7" s="12"/>
    </row>
    <row r="8" spans="1:37" s="15" customFormat="1" ht="22.15" customHeight="1" x14ac:dyDescent="0.25">
      <c r="A8" s="12">
        <v>5</v>
      </c>
      <c r="B8" s="27" t="s">
        <v>8</v>
      </c>
      <c r="C8" s="9" t="s">
        <v>6</v>
      </c>
      <c r="D8" s="10" t="s">
        <v>63</v>
      </c>
      <c r="E8" s="10" t="s">
        <v>63</v>
      </c>
      <c r="F8" s="10" t="s">
        <v>63</v>
      </c>
      <c r="G8" s="10" t="s">
        <v>63</v>
      </c>
      <c r="H8" s="10" t="s">
        <v>63</v>
      </c>
      <c r="I8" s="10" t="s">
        <v>63</v>
      </c>
      <c r="J8" s="10" t="s">
        <v>63</v>
      </c>
      <c r="K8" s="10" t="s">
        <v>63</v>
      </c>
      <c r="L8" s="10" t="s">
        <v>63</v>
      </c>
      <c r="M8" s="10" t="s">
        <v>63</v>
      </c>
      <c r="N8" s="10" t="s">
        <v>63</v>
      </c>
      <c r="O8" s="10" t="s">
        <v>63</v>
      </c>
      <c r="P8" s="10" t="s">
        <v>42</v>
      </c>
      <c r="Q8" s="10" t="s">
        <v>42</v>
      </c>
      <c r="R8" s="10" t="s">
        <v>42</v>
      </c>
      <c r="S8" s="8"/>
      <c r="T8" s="30"/>
      <c r="U8" s="8"/>
      <c r="V8" s="8"/>
      <c r="W8" s="8"/>
      <c r="X8" s="8"/>
      <c r="Y8" s="8"/>
      <c r="Z8" s="8"/>
      <c r="AA8" s="30"/>
      <c r="AB8" s="8"/>
      <c r="AC8" s="8"/>
      <c r="AD8" s="8"/>
      <c r="AE8" s="8"/>
      <c r="AF8" s="8"/>
      <c r="AG8" s="8"/>
      <c r="AH8" s="30"/>
      <c r="AI8" s="8">
        <f>SUM(D8:AH8)</f>
        <v>0</v>
      </c>
      <c r="AJ8" s="12">
        <f>COUNT(D8:AI8)</f>
        <v>1</v>
      </c>
      <c r="AK8" s="12"/>
    </row>
    <row r="9" spans="1:37" ht="22.15" customHeight="1" x14ac:dyDescent="0.25">
      <c r="A9" s="23"/>
      <c r="B9" s="24"/>
      <c r="C9" s="25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18"/>
      <c r="AJ9" s="18"/>
      <c r="AK9" s="18"/>
    </row>
    <row r="10" spans="1:37" s="14" customFormat="1" ht="25.15" customHeight="1" x14ac:dyDescent="0.25">
      <c r="A10" s="12">
        <v>1</v>
      </c>
      <c r="B10" s="28" t="s">
        <v>44</v>
      </c>
      <c r="C10" s="9" t="s">
        <v>12</v>
      </c>
      <c r="D10" s="3" t="s">
        <v>13</v>
      </c>
      <c r="E10" s="3" t="s">
        <v>13</v>
      </c>
      <c r="F10" s="31" t="s">
        <v>13</v>
      </c>
      <c r="G10" s="3" t="s">
        <v>13</v>
      </c>
      <c r="H10" s="3" t="s">
        <v>13</v>
      </c>
      <c r="I10" s="3" t="s">
        <v>13</v>
      </c>
      <c r="J10" s="3" t="s">
        <v>13</v>
      </c>
      <c r="K10" s="3" t="s">
        <v>13</v>
      </c>
      <c r="L10" s="3" t="s">
        <v>13</v>
      </c>
      <c r="M10" s="31" t="s">
        <v>13</v>
      </c>
      <c r="N10" s="3" t="s">
        <v>13</v>
      </c>
      <c r="O10" s="3" t="s">
        <v>13</v>
      </c>
      <c r="P10" s="3" t="s">
        <v>13</v>
      </c>
      <c r="Q10" s="3" t="s">
        <v>13</v>
      </c>
      <c r="R10" s="3" t="s">
        <v>13</v>
      </c>
      <c r="S10" s="3" t="s">
        <v>13</v>
      </c>
      <c r="T10" s="31" t="s">
        <v>13</v>
      </c>
      <c r="U10" s="3" t="s">
        <v>13</v>
      </c>
      <c r="V10" s="3" t="s">
        <v>13</v>
      </c>
      <c r="W10" s="3" t="s">
        <v>13</v>
      </c>
      <c r="X10" s="3" t="s">
        <v>13</v>
      </c>
      <c r="Y10" s="3" t="s">
        <v>13</v>
      </c>
      <c r="Z10" s="3" t="s">
        <v>13</v>
      </c>
      <c r="AA10" s="31" t="s">
        <v>13</v>
      </c>
      <c r="AB10" s="3" t="s">
        <v>13</v>
      </c>
      <c r="AC10" s="3" t="s">
        <v>13</v>
      </c>
      <c r="AD10" s="3" t="s">
        <v>13</v>
      </c>
      <c r="AE10" s="3" t="s">
        <v>13</v>
      </c>
      <c r="AF10" s="3" t="s">
        <v>13</v>
      </c>
      <c r="AG10" s="3" t="s">
        <v>13</v>
      </c>
      <c r="AH10" s="31" t="s">
        <v>13</v>
      </c>
      <c r="AI10" s="8">
        <f t="shared" ref="AI10:AI49" si="2">SUM(D10:AH10)</f>
        <v>0</v>
      </c>
      <c r="AJ10" s="12">
        <f t="shared" si="1"/>
        <v>1</v>
      </c>
      <c r="AK10" s="4"/>
    </row>
    <row r="11" spans="1:37" ht="25.15" customHeight="1" x14ac:dyDescent="0.25">
      <c r="A11" s="12">
        <v>2</v>
      </c>
      <c r="B11" s="27" t="s">
        <v>35</v>
      </c>
      <c r="C11" s="9" t="s">
        <v>12</v>
      </c>
      <c r="D11" s="9">
        <v>11</v>
      </c>
      <c r="E11" s="11" t="s">
        <v>7</v>
      </c>
      <c r="F11" s="31">
        <v>11</v>
      </c>
      <c r="G11" s="9">
        <v>11</v>
      </c>
      <c r="H11" s="9">
        <v>11</v>
      </c>
      <c r="I11" s="10" t="s">
        <v>42</v>
      </c>
      <c r="J11" s="11" t="s">
        <v>63</v>
      </c>
      <c r="K11" s="11" t="s">
        <v>63</v>
      </c>
      <c r="L11" s="11" t="s">
        <v>63</v>
      </c>
      <c r="M11" s="11" t="s">
        <v>63</v>
      </c>
      <c r="N11" s="11" t="s">
        <v>63</v>
      </c>
      <c r="O11" s="11" t="s">
        <v>63</v>
      </c>
      <c r="P11" s="11" t="s">
        <v>63</v>
      </c>
      <c r="Q11" s="11" t="s">
        <v>63</v>
      </c>
      <c r="R11" s="11" t="s">
        <v>63</v>
      </c>
      <c r="S11" s="11" t="s">
        <v>63</v>
      </c>
      <c r="T11" s="11" t="s">
        <v>63</v>
      </c>
      <c r="U11" s="11" t="s">
        <v>63</v>
      </c>
      <c r="V11" s="9">
        <v>11</v>
      </c>
      <c r="W11" s="11" t="s">
        <v>42</v>
      </c>
      <c r="X11" s="9">
        <v>11</v>
      </c>
      <c r="Y11" s="9">
        <v>11</v>
      </c>
      <c r="Z11" s="9">
        <v>11</v>
      </c>
      <c r="AA11" s="31">
        <v>11</v>
      </c>
      <c r="AB11" s="9">
        <v>11</v>
      </c>
      <c r="AC11" s="9">
        <v>11</v>
      </c>
      <c r="AD11" s="9">
        <v>11</v>
      </c>
      <c r="AE11" s="9">
        <v>11</v>
      </c>
      <c r="AF11" s="9">
        <v>11</v>
      </c>
      <c r="AG11" s="9">
        <v>11</v>
      </c>
      <c r="AH11" s="31"/>
      <c r="AI11" s="8">
        <f t="shared" si="2"/>
        <v>165</v>
      </c>
      <c r="AJ11" s="12">
        <f t="shared" si="1"/>
        <v>16</v>
      </c>
      <c r="AK11" s="4"/>
    </row>
    <row r="12" spans="1:37" ht="25.15" customHeight="1" x14ac:dyDescent="0.25">
      <c r="A12" s="12">
        <v>3</v>
      </c>
      <c r="B12" s="34" t="s">
        <v>22</v>
      </c>
      <c r="C12" s="9" t="s">
        <v>12</v>
      </c>
      <c r="D12" s="3" t="s">
        <v>13</v>
      </c>
      <c r="E12" s="3" t="s">
        <v>13</v>
      </c>
      <c r="F12" s="31" t="s">
        <v>13</v>
      </c>
      <c r="G12" s="3" t="s">
        <v>13</v>
      </c>
      <c r="H12" s="3" t="s">
        <v>13</v>
      </c>
      <c r="I12" s="3" t="s">
        <v>13</v>
      </c>
      <c r="J12" s="3" t="s">
        <v>13</v>
      </c>
      <c r="K12" s="3" t="s">
        <v>13</v>
      </c>
      <c r="L12" s="3" t="s">
        <v>13</v>
      </c>
      <c r="M12" s="31" t="s">
        <v>13</v>
      </c>
      <c r="N12" s="3" t="s">
        <v>13</v>
      </c>
      <c r="O12" s="3" t="s">
        <v>13</v>
      </c>
      <c r="P12" s="3" t="s">
        <v>13</v>
      </c>
      <c r="Q12" s="3" t="s">
        <v>13</v>
      </c>
      <c r="R12" s="3" t="s">
        <v>13</v>
      </c>
      <c r="S12" s="9" t="s">
        <v>13</v>
      </c>
      <c r="T12" s="31" t="s">
        <v>13</v>
      </c>
      <c r="U12" s="3" t="s">
        <v>13</v>
      </c>
      <c r="V12" s="3" t="s">
        <v>13</v>
      </c>
      <c r="W12" s="3" t="s">
        <v>13</v>
      </c>
      <c r="X12" s="3" t="s">
        <v>13</v>
      </c>
      <c r="Y12" s="3" t="s">
        <v>13</v>
      </c>
      <c r="Z12" s="9" t="s">
        <v>13</v>
      </c>
      <c r="AA12" s="31" t="s">
        <v>13</v>
      </c>
      <c r="AB12" s="3" t="s">
        <v>13</v>
      </c>
      <c r="AC12" s="3" t="s">
        <v>13</v>
      </c>
      <c r="AD12" s="3" t="s">
        <v>13</v>
      </c>
      <c r="AE12" s="3" t="s">
        <v>13</v>
      </c>
      <c r="AF12" s="3" t="s">
        <v>13</v>
      </c>
      <c r="AG12" s="3" t="s">
        <v>13</v>
      </c>
      <c r="AH12" s="31" t="s">
        <v>13</v>
      </c>
      <c r="AI12" s="8">
        <f t="shared" si="2"/>
        <v>0</v>
      </c>
      <c r="AJ12" s="12">
        <f t="shared" si="1"/>
        <v>1</v>
      </c>
      <c r="AK12" s="4"/>
    </row>
    <row r="13" spans="1:37" ht="25.15" customHeight="1" x14ac:dyDescent="0.25">
      <c r="A13" s="12">
        <v>4</v>
      </c>
      <c r="B13" s="27" t="s">
        <v>41</v>
      </c>
      <c r="C13" s="9" t="s">
        <v>12</v>
      </c>
      <c r="D13" s="8">
        <v>11</v>
      </c>
      <c r="E13" s="8">
        <v>11</v>
      </c>
      <c r="F13" s="30">
        <v>11</v>
      </c>
      <c r="G13" s="8">
        <v>11</v>
      </c>
      <c r="H13" s="8">
        <v>11</v>
      </c>
      <c r="I13" s="8">
        <v>11</v>
      </c>
      <c r="J13" s="8">
        <v>11</v>
      </c>
      <c r="K13" s="8">
        <v>11</v>
      </c>
      <c r="L13" s="10" t="s">
        <v>7</v>
      </c>
      <c r="M13" s="30">
        <v>11</v>
      </c>
      <c r="N13" s="8">
        <v>11</v>
      </c>
      <c r="O13" s="8">
        <v>11</v>
      </c>
      <c r="P13" s="8">
        <v>11</v>
      </c>
      <c r="Q13" s="8">
        <v>11</v>
      </c>
      <c r="R13" s="8">
        <v>11</v>
      </c>
      <c r="S13" s="44" t="s">
        <v>65</v>
      </c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6"/>
      <c r="AI13" s="8">
        <f t="shared" si="2"/>
        <v>154</v>
      </c>
      <c r="AJ13" s="12">
        <f t="shared" si="1"/>
        <v>15</v>
      </c>
      <c r="AK13" s="12"/>
    </row>
    <row r="14" spans="1:37" ht="25.15" customHeight="1" x14ac:dyDescent="0.25">
      <c r="A14" s="12">
        <v>5</v>
      </c>
      <c r="B14" s="27" t="s">
        <v>11</v>
      </c>
      <c r="C14" s="7" t="s">
        <v>62</v>
      </c>
      <c r="D14" s="8">
        <v>11</v>
      </c>
      <c r="E14" s="8">
        <v>11</v>
      </c>
      <c r="F14" s="30">
        <v>11</v>
      </c>
      <c r="G14" s="8">
        <v>11</v>
      </c>
      <c r="H14" s="8">
        <v>11</v>
      </c>
      <c r="I14" s="8">
        <v>11</v>
      </c>
      <c r="J14" s="8">
        <v>11</v>
      </c>
      <c r="K14" s="8">
        <v>11</v>
      </c>
      <c r="L14" s="10" t="s">
        <v>7</v>
      </c>
      <c r="M14" s="10" t="s">
        <v>7</v>
      </c>
      <c r="N14" s="8">
        <v>11</v>
      </c>
      <c r="O14" s="8">
        <v>11</v>
      </c>
      <c r="P14" s="8">
        <v>11</v>
      </c>
      <c r="Q14" s="8">
        <v>11</v>
      </c>
      <c r="R14" s="8">
        <v>11</v>
      </c>
      <c r="S14" s="8">
        <v>11</v>
      </c>
      <c r="T14" s="30">
        <v>11</v>
      </c>
      <c r="U14" s="8">
        <v>11</v>
      </c>
      <c r="V14" s="8">
        <v>11</v>
      </c>
      <c r="W14" s="8">
        <v>11</v>
      </c>
      <c r="X14" s="8">
        <v>11</v>
      </c>
      <c r="Y14" s="8">
        <v>11</v>
      </c>
      <c r="Z14" s="11" t="s">
        <v>42</v>
      </c>
      <c r="AA14" s="31">
        <v>11</v>
      </c>
      <c r="AB14" s="9">
        <v>11</v>
      </c>
      <c r="AC14" s="8">
        <v>11</v>
      </c>
      <c r="AD14" s="8">
        <v>11</v>
      </c>
      <c r="AE14" s="8">
        <v>11</v>
      </c>
      <c r="AF14" s="8">
        <v>11</v>
      </c>
      <c r="AG14" s="11" t="s">
        <v>42</v>
      </c>
      <c r="AH14" s="30"/>
      <c r="AI14" s="12">
        <f t="shared" si="2"/>
        <v>286</v>
      </c>
      <c r="AJ14" s="12">
        <f t="shared" si="1"/>
        <v>27</v>
      </c>
      <c r="AK14" s="1"/>
    </row>
    <row r="15" spans="1:37" ht="25.15" customHeight="1" x14ac:dyDescent="0.25">
      <c r="A15" s="12">
        <v>6</v>
      </c>
      <c r="B15" s="34" t="s">
        <v>61</v>
      </c>
      <c r="C15" s="3" t="s">
        <v>12</v>
      </c>
      <c r="D15" s="10" t="s">
        <v>7</v>
      </c>
      <c r="E15" s="10" t="s">
        <v>7</v>
      </c>
      <c r="F15" s="10" t="s">
        <v>7</v>
      </c>
      <c r="G15" s="10" t="s">
        <v>42</v>
      </c>
      <c r="H15" s="11" t="s">
        <v>42</v>
      </c>
      <c r="I15" s="11" t="s">
        <v>42</v>
      </c>
      <c r="J15" s="11" t="s">
        <v>42</v>
      </c>
      <c r="K15" s="11" t="s">
        <v>42</v>
      </c>
      <c r="L15" s="11" t="s">
        <v>7</v>
      </c>
      <c r="M15" s="11" t="s">
        <v>7</v>
      </c>
      <c r="N15" s="11" t="s">
        <v>42</v>
      </c>
      <c r="O15" s="11" t="s">
        <v>42</v>
      </c>
      <c r="P15" s="11" t="s">
        <v>42</v>
      </c>
      <c r="Q15" s="11" t="s">
        <v>42</v>
      </c>
      <c r="R15" s="11" t="s">
        <v>42</v>
      </c>
      <c r="S15" s="11" t="s">
        <v>42</v>
      </c>
      <c r="T15" s="11" t="s">
        <v>42</v>
      </c>
      <c r="U15" s="11" t="s">
        <v>42</v>
      </c>
      <c r="V15" s="11" t="s">
        <v>42</v>
      </c>
      <c r="W15" s="11" t="s">
        <v>42</v>
      </c>
      <c r="X15" s="11" t="s">
        <v>42</v>
      </c>
      <c r="Y15" s="11" t="s">
        <v>42</v>
      </c>
      <c r="Z15" s="11" t="s">
        <v>42</v>
      </c>
      <c r="AA15" s="11" t="s">
        <v>42</v>
      </c>
      <c r="AB15" s="11" t="s">
        <v>42</v>
      </c>
      <c r="AC15" s="11" t="s">
        <v>42</v>
      </c>
      <c r="AD15" s="11" t="s">
        <v>42</v>
      </c>
      <c r="AE15" s="11" t="s">
        <v>42</v>
      </c>
      <c r="AF15" s="11" t="s">
        <v>42</v>
      </c>
      <c r="AG15" s="11" t="s">
        <v>42</v>
      </c>
      <c r="AH15" s="11" t="s">
        <v>42</v>
      </c>
      <c r="AI15" s="8">
        <f t="shared" si="2"/>
        <v>0</v>
      </c>
      <c r="AJ15" s="12">
        <f t="shared" si="1"/>
        <v>1</v>
      </c>
      <c r="AK15" s="12"/>
    </row>
    <row r="16" spans="1:37" ht="25.15" customHeight="1" x14ac:dyDescent="0.25">
      <c r="A16" s="12">
        <v>7</v>
      </c>
      <c r="B16" s="27" t="s">
        <v>25</v>
      </c>
      <c r="C16" s="9" t="s">
        <v>12</v>
      </c>
      <c r="D16" s="41" t="s">
        <v>45</v>
      </c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2" t="s">
        <v>49</v>
      </c>
      <c r="S16" s="3" t="s">
        <v>13</v>
      </c>
      <c r="T16" s="31" t="s">
        <v>13</v>
      </c>
      <c r="U16" s="3" t="s">
        <v>13</v>
      </c>
      <c r="V16" s="3" t="s">
        <v>13</v>
      </c>
      <c r="W16" s="3" t="s">
        <v>13</v>
      </c>
      <c r="X16" s="3" t="s">
        <v>13</v>
      </c>
      <c r="Y16" s="3" t="s">
        <v>13</v>
      </c>
      <c r="Z16" s="3" t="s">
        <v>13</v>
      </c>
      <c r="AA16" s="31" t="s">
        <v>13</v>
      </c>
      <c r="AB16" s="3" t="s">
        <v>13</v>
      </c>
      <c r="AC16" s="3" t="s">
        <v>13</v>
      </c>
      <c r="AD16" s="3" t="s">
        <v>13</v>
      </c>
      <c r="AE16" s="3" t="s">
        <v>13</v>
      </c>
      <c r="AF16" s="3" t="s">
        <v>13</v>
      </c>
      <c r="AG16" s="3" t="s">
        <v>13</v>
      </c>
      <c r="AH16" s="31" t="s">
        <v>13</v>
      </c>
      <c r="AI16" s="12">
        <f t="shared" si="2"/>
        <v>0</v>
      </c>
      <c r="AJ16" s="12">
        <f t="shared" si="1"/>
        <v>1</v>
      </c>
      <c r="AK16" s="4"/>
    </row>
    <row r="17" spans="1:37" ht="24.6" customHeight="1" x14ac:dyDescent="0.25">
      <c r="A17" s="12">
        <v>8</v>
      </c>
      <c r="B17" s="34" t="s">
        <v>46</v>
      </c>
      <c r="C17" s="7" t="s">
        <v>62</v>
      </c>
      <c r="D17" s="8">
        <v>11</v>
      </c>
      <c r="E17" s="8">
        <v>11</v>
      </c>
      <c r="F17" s="30">
        <v>11</v>
      </c>
      <c r="G17" s="8">
        <v>11</v>
      </c>
      <c r="H17" s="11" t="s">
        <v>42</v>
      </c>
      <c r="I17" s="10" t="s">
        <v>42</v>
      </c>
      <c r="J17" s="9" t="s">
        <v>49</v>
      </c>
      <c r="K17" s="3" t="s">
        <v>13</v>
      </c>
      <c r="L17" s="3" t="s">
        <v>13</v>
      </c>
      <c r="M17" s="31" t="s">
        <v>13</v>
      </c>
      <c r="N17" s="3" t="s">
        <v>13</v>
      </c>
      <c r="O17" s="3" t="s">
        <v>13</v>
      </c>
      <c r="P17" s="3" t="s">
        <v>13</v>
      </c>
      <c r="Q17" s="3" t="s">
        <v>13</v>
      </c>
      <c r="R17" s="3" t="s">
        <v>13</v>
      </c>
      <c r="S17" s="3" t="s">
        <v>13</v>
      </c>
      <c r="T17" s="31" t="s">
        <v>13</v>
      </c>
      <c r="U17" s="3" t="s">
        <v>13</v>
      </c>
      <c r="V17" s="3" t="s">
        <v>13</v>
      </c>
      <c r="W17" s="3" t="s">
        <v>13</v>
      </c>
      <c r="X17" s="3" t="s">
        <v>13</v>
      </c>
      <c r="Y17" s="3" t="s">
        <v>13</v>
      </c>
      <c r="Z17" s="3" t="s">
        <v>13</v>
      </c>
      <c r="AA17" s="31" t="s">
        <v>13</v>
      </c>
      <c r="AB17" s="3" t="s">
        <v>13</v>
      </c>
      <c r="AC17" s="3" t="s">
        <v>13</v>
      </c>
      <c r="AD17" s="3" t="s">
        <v>13</v>
      </c>
      <c r="AE17" s="3" t="s">
        <v>13</v>
      </c>
      <c r="AF17" s="3" t="s">
        <v>13</v>
      </c>
      <c r="AG17" s="3" t="s">
        <v>13</v>
      </c>
      <c r="AH17" s="31" t="s">
        <v>13</v>
      </c>
      <c r="AI17" s="8">
        <f t="shared" si="2"/>
        <v>44</v>
      </c>
      <c r="AJ17" s="12">
        <f t="shared" si="1"/>
        <v>5</v>
      </c>
      <c r="AK17" s="12"/>
    </row>
    <row r="18" spans="1:37" ht="25.15" customHeight="1" x14ac:dyDescent="0.25">
      <c r="A18" s="12">
        <v>9</v>
      </c>
      <c r="B18" s="34" t="s">
        <v>60</v>
      </c>
      <c r="C18" s="9" t="s">
        <v>12</v>
      </c>
      <c r="D18" s="3" t="s">
        <v>13</v>
      </c>
      <c r="E18" s="3" t="s">
        <v>13</v>
      </c>
      <c r="F18" s="31" t="s">
        <v>13</v>
      </c>
      <c r="G18" s="3" t="s">
        <v>13</v>
      </c>
      <c r="H18" s="3" t="s">
        <v>13</v>
      </c>
      <c r="I18" s="3" t="s">
        <v>13</v>
      </c>
      <c r="J18" s="3" t="s">
        <v>13</v>
      </c>
      <c r="K18" s="3" t="s">
        <v>13</v>
      </c>
      <c r="L18" s="3" t="s">
        <v>13</v>
      </c>
      <c r="M18" s="31" t="s">
        <v>13</v>
      </c>
      <c r="N18" s="9" t="s">
        <v>13</v>
      </c>
      <c r="O18" s="9" t="s">
        <v>13</v>
      </c>
      <c r="P18" s="9" t="s">
        <v>13</v>
      </c>
      <c r="Q18" s="9" t="s">
        <v>49</v>
      </c>
      <c r="R18" s="9">
        <v>11</v>
      </c>
      <c r="S18" s="9">
        <v>11</v>
      </c>
      <c r="T18" s="44" t="s">
        <v>65</v>
      </c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6"/>
      <c r="AI18" s="8">
        <f t="shared" si="2"/>
        <v>22</v>
      </c>
      <c r="AJ18" s="12">
        <f t="shared" si="1"/>
        <v>3</v>
      </c>
      <c r="AK18" s="12"/>
    </row>
    <row r="19" spans="1:37" ht="25.15" customHeight="1" x14ac:dyDescent="0.25">
      <c r="A19" s="12">
        <v>10</v>
      </c>
      <c r="B19" s="27" t="s">
        <v>20</v>
      </c>
      <c r="C19" s="9" t="s">
        <v>12</v>
      </c>
      <c r="D19" s="3" t="s">
        <v>13</v>
      </c>
      <c r="E19" s="3" t="s">
        <v>13</v>
      </c>
      <c r="F19" s="31" t="s">
        <v>13</v>
      </c>
      <c r="G19" s="3" t="s">
        <v>13</v>
      </c>
      <c r="H19" s="3" t="s">
        <v>13</v>
      </c>
      <c r="I19" s="3" t="s">
        <v>13</v>
      </c>
      <c r="J19" s="3" t="s">
        <v>13</v>
      </c>
      <c r="K19" s="3" t="s">
        <v>13</v>
      </c>
      <c r="L19" s="3" t="s">
        <v>13</v>
      </c>
      <c r="M19" s="30" t="s">
        <v>13</v>
      </c>
      <c r="N19" s="8" t="s">
        <v>13</v>
      </c>
      <c r="O19" s="8" t="s">
        <v>13</v>
      </c>
      <c r="P19" s="8" t="s">
        <v>13</v>
      </c>
      <c r="Q19" s="8" t="s">
        <v>13</v>
      </c>
      <c r="R19" s="8" t="s">
        <v>13</v>
      </c>
      <c r="S19" s="8" t="s">
        <v>13</v>
      </c>
      <c r="T19" s="31" t="s">
        <v>13</v>
      </c>
      <c r="U19" s="3" t="s">
        <v>13</v>
      </c>
      <c r="V19" s="3" t="s">
        <v>13</v>
      </c>
      <c r="W19" s="3" t="s">
        <v>13</v>
      </c>
      <c r="X19" s="3" t="s">
        <v>13</v>
      </c>
      <c r="Y19" s="3" t="s">
        <v>13</v>
      </c>
      <c r="Z19" s="3" t="s">
        <v>13</v>
      </c>
      <c r="AA19" s="31" t="s">
        <v>13</v>
      </c>
      <c r="AB19" s="3" t="s">
        <v>13</v>
      </c>
      <c r="AC19" s="3" t="s">
        <v>13</v>
      </c>
      <c r="AD19" s="3" t="s">
        <v>13</v>
      </c>
      <c r="AE19" s="3" t="s">
        <v>13</v>
      </c>
      <c r="AF19" s="3" t="s">
        <v>13</v>
      </c>
      <c r="AG19" s="3" t="s">
        <v>13</v>
      </c>
      <c r="AH19" s="31" t="s">
        <v>13</v>
      </c>
      <c r="AI19" s="8">
        <f t="shared" si="2"/>
        <v>0</v>
      </c>
      <c r="AJ19" s="12">
        <f t="shared" si="1"/>
        <v>1</v>
      </c>
      <c r="AK19" s="12"/>
    </row>
    <row r="20" spans="1:37" ht="25.15" customHeight="1" x14ac:dyDescent="0.25">
      <c r="A20" s="12">
        <v>11</v>
      </c>
      <c r="B20" s="34" t="s">
        <v>36</v>
      </c>
      <c r="C20" s="3" t="s">
        <v>12</v>
      </c>
      <c r="D20" s="10" t="s">
        <v>7</v>
      </c>
      <c r="E20" s="10" t="s">
        <v>7</v>
      </c>
      <c r="F20" s="10" t="s">
        <v>7</v>
      </c>
      <c r="G20" s="10" t="s">
        <v>42</v>
      </c>
      <c r="H20" s="8">
        <v>11</v>
      </c>
      <c r="I20" s="8">
        <v>11</v>
      </c>
      <c r="J20" s="8">
        <v>11</v>
      </c>
      <c r="K20" s="8">
        <v>11</v>
      </c>
      <c r="L20" s="10" t="s">
        <v>7</v>
      </c>
      <c r="M20" s="10" t="s">
        <v>7</v>
      </c>
      <c r="N20" s="8">
        <v>11</v>
      </c>
      <c r="O20" s="8">
        <v>11</v>
      </c>
      <c r="P20" s="8">
        <v>11</v>
      </c>
      <c r="Q20" s="8">
        <v>11</v>
      </c>
      <c r="R20" s="8">
        <v>11</v>
      </c>
      <c r="S20" s="8">
        <v>11</v>
      </c>
      <c r="T20" s="30">
        <v>11</v>
      </c>
      <c r="U20" s="8">
        <v>11</v>
      </c>
      <c r="V20" s="8">
        <v>11</v>
      </c>
      <c r="W20" s="8">
        <v>11</v>
      </c>
      <c r="X20" s="8">
        <v>11</v>
      </c>
      <c r="Y20" s="8">
        <v>11</v>
      </c>
      <c r="Z20" s="10" t="s">
        <v>42</v>
      </c>
      <c r="AA20" s="30">
        <v>11</v>
      </c>
      <c r="AB20" s="8">
        <v>11</v>
      </c>
      <c r="AC20" s="8">
        <v>11</v>
      </c>
      <c r="AD20" s="8">
        <v>11</v>
      </c>
      <c r="AE20" s="8">
        <v>11</v>
      </c>
      <c r="AF20" s="8">
        <v>11</v>
      </c>
      <c r="AG20" s="8">
        <v>11</v>
      </c>
      <c r="AH20" s="30"/>
      <c r="AI20" s="8">
        <f t="shared" si="2"/>
        <v>253</v>
      </c>
      <c r="AJ20" s="12">
        <f t="shared" si="1"/>
        <v>24</v>
      </c>
      <c r="AK20" s="12"/>
    </row>
    <row r="21" spans="1:37" ht="25.15" customHeight="1" x14ac:dyDescent="0.25">
      <c r="A21" s="12">
        <v>12</v>
      </c>
      <c r="B21" s="27" t="s">
        <v>32</v>
      </c>
      <c r="C21" s="9" t="s">
        <v>12</v>
      </c>
      <c r="D21" s="3" t="s">
        <v>13</v>
      </c>
      <c r="E21" s="3" t="s">
        <v>13</v>
      </c>
      <c r="F21" s="31" t="s">
        <v>13</v>
      </c>
      <c r="G21" s="3" t="s">
        <v>13</v>
      </c>
      <c r="H21" s="3" t="s">
        <v>13</v>
      </c>
      <c r="I21" s="3" t="s">
        <v>13</v>
      </c>
      <c r="J21" s="3" t="s">
        <v>13</v>
      </c>
      <c r="K21" s="3" t="s">
        <v>13</v>
      </c>
      <c r="L21" s="3" t="s">
        <v>13</v>
      </c>
      <c r="M21" s="31" t="s">
        <v>13</v>
      </c>
      <c r="N21" s="3" t="s">
        <v>13</v>
      </c>
      <c r="O21" s="3" t="s">
        <v>13</v>
      </c>
      <c r="P21" s="3" t="s">
        <v>13</v>
      </c>
      <c r="Q21" s="3" t="s">
        <v>13</v>
      </c>
      <c r="R21" s="3" t="s">
        <v>13</v>
      </c>
      <c r="S21" s="3" t="s">
        <v>13</v>
      </c>
      <c r="T21" s="31" t="s">
        <v>13</v>
      </c>
      <c r="U21" s="3" t="s">
        <v>13</v>
      </c>
      <c r="V21" s="3" t="s">
        <v>13</v>
      </c>
      <c r="W21" s="3" t="s">
        <v>13</v>
      </c>
      <c r="X21" s="3" t="s">
        <v>13</v>
      </c>
      <c r="Y21" s="3" t="s">
        <v>13</v>
      </c>
      <c r="Z21" s="3" t="s">
        <v>13</v>
      </c>
      <c r="AA21" s="31" t="s">
        <v>13</v>
      </c>
      <c r="AB21" s="3" t="s">
        <v>13</v>
      </c>
      <c r="AC21" s="3" t="s">
        <v>13</v>
      </c>
      <c r="AD21" s="3" t="s">
        <v>13</v>
      </c>
      <c r="AE21" s="3" t="s">
        <v>13</v>
      </c>
      <c r="AF21" s="3" t="s">
        <v>13</v>
      </c>
      <c r="AG21" s="3" t="s">
        <v>13</v>
      </c>
      <c r="AH21" s="31" t="s">
        <v>13</v>
      </c>
      <c r="AI21" s="12">
        <f t="shared" si="2"/>
        <v>0</v>
      </c>
      <c r="AJ21" s="12">
        <f t="shared" si="1"/>
        <v>1</v>
      </c>
      <c r="AK21" s="12"/>
    </row>
    <row r="22" spans="1:37" ht="25.15" customHeight="1" x14ac:dyDescent="0.25">
      <c r="A22" s="12">
        <v>14</v>
      </c>
      <c r="B22" s="27" t="s">
        <v>33</v>
      </c>
      <c r="C22" s="7" t="s">
        <v>62</v>
      </c>
      <c r="D22" s="3" t="s">
        <v>13</v>
      </c>
      <c r="E22" s="3" t="s">
        <v>13</v>
      </c>
      <c r="F22" s="31" t="s">
        <v>13</v>
      </c>
      <c r="G22" s="3" t="s">
        <v>13</v>
      </c>
      <c r="H22" s="3" t="s">
        <v>13</v>
      </c>
      <c r="I22" s="3" t="s">
        <v>13</v>
      </c>
      <c r="J22" s="3" t="s">
        <v>13</v>
      </c>
      <c r="K22" s="3" t="s">
        <v>13</v>
      </c>
      <c r="L22" s="3" t="s">
        <v>13</v>
      </c>
      <c r="M22" s="31" t="s">
        <v>13</v>
      </c>
      <c r="N22" s="3" t="s">
        <v>13</v>
      </c>
      <c r="O22" s="3" t="s">
        <v>13</v>
      </c>
      <c r="P22" s="3" t="s">
        <v>13</v>
      </c>
      <c r="Q22" s="3" t="s">
        <v>13</v>
      </c>
      <c r="R22" s="3" t="s">
        <v>13</v>
      </c>
      <c r="S22" s="3" t="s">
        <v>13</v>
      </c>
      <c r="T22" s="31" t="s">
        <v>13</v>
      </c>
      <c r="U22" s="3" t="s">
        <v>13</v>
      </c>
      <c r="V22" s="3" t="s">
        <v>13</v>
      </c>
      <c r="W22" s="3" t="s">
        <v>13</v>
      </c>
      <c r="X22" s="3" t="s">
        <v>13</v>
      </c>
      <c r="Y22" s="3" t="s">
        <v>13</v>
      </c>
      <c r="Z22" s="3" t="s">
        <v>13</v>
      </c>
      <c r="AA22" s="31" t="s">
        <v>13</v>
      </c>
      <c r="AB22" s="3" t="s">
        <v>13</v>
      </c>
      <c r="AC22" s="3" t="s">
        <v>13</v>
      </c>
      <c r="AD22" s="3" t="s">
        <v>13</v>
      </c>
      <c r="AE22" s="3" t="s">
        <v>13</v>
      </c>
      <c r="AF22" s="3" t="s">
        <v>13</v>
      </c>
      <c r="AG22" s="3" t="s">
        <v>13</v>
      </c>
      <c r="AH22" s="31" t="s">
        <v>13</v>
      </c>
      <c r="AI22" s="12">
        <f t="shared" si="2"/>
        <v>0</v>
      </c>
      <c r="AJ22" s="12">
        <f t="shared" si="1"/>
        <v>1</v>
      </c>
      <c r="AK22" s="12"/>
    </row>
    <row r="23" spans="1:37" ht="25.15" customHeight="1" x14ac:dyDescent="0.25">
      <c r="A23" s="12">
        <v>15</v>
      </c>
      <c r="B23" s="27" t="s">
        <v>47</v>
      </c>
      <c r="C23" s="9" t="s">
        <v>12</v>
      </c>
      <c r="D23" s="8">
        <v>11</v>
      </c>
      <c r="E23" s="9">
        <v>11</v>
      </c>
      <c r="F23" s="11" t="s">
        <v>7</v>
      </c>
      <c r="G23" s="11" t="s">
        <v>42</v>
      </c>
      <c r="H23" s="11" t="s">
        <v>42</v>
      </c>
      <c r="I23" s="9" t="s">
        <v>49</v>
      </c>
      <c r="J23" s="3" t="s">
        <v>13</v>
      </c>
      <c r="K23" s="3" t="s">
        <v>13</v>
      </c>
      <c r="L23" s="3" t="s">
        <v>13</v>
      </c>
      <c r="M23" s="31" t="s">
        <v>13</v>
      </c>
      <c r="N23" s="3" t="s">
        <v>13</v>
      </c>
      <c r="O23" s="3" t="s">
        <v>13</v>
      </c>
      <c r="P23" s="3" t="s">
        <v>13</v>
      </c>
      <c r="Q23" s="3" t="s">
        <v>13</v>
      </c>
      <c r="R23" s="3" t="s">
        <v>13</v>
      </c>
      <c r="S23" s="3" t="s">
        <v>13</v>
      </c>
      <c r="T23" s="31" t="s">
        <v>13</v>
      </c>
      <c r="U23" s="3" t="s">
        <v>13</v>
      </c>
      <c r="V23" s="3" t="s">
        <v>13</v>
      </c>
      <c r="W23" s="3" t="s">
        <v>13</v>
      </c>
      <c r="X23" s="3" t="s">
        <v>13</v>
      </c>
      <c r="Y23" s="3" t="s">
        <v>13</v>
      </c>
      <c r="Z23" s="3" t="s">
        <v>13</v>
      </c>
      <c r="AA23" s="31" t="s">
        <v>13</v>
      </c>
      <c r="AB23" s="47" t="s">
        <v>66</v>
      </c>
      <c r="AC23" s="48"/>
      <c r="AD23" s="48"/>
      <c r="AE23" s="48"/>
      <c r="AF23" s="48"/>
      <c r="AG23" s="48"/>
      <c r="AH23" s="49"/>
      <c r="AI23" s="8">
        <f t="shared" si="2"/>
        <v>22</v>
      </c>
      <c r="AJ23" s="12">
        <f t="shared" si="1"/>
        <v>3</v>
      </c>
      <c r="AK23" s="12"/>
    </row>
    <row r="24" spans="1:37" ht="25.15" customHeight="1" x14ac:dyDescent="0.25">
      <c r="A24" s="12">
        <v>16</v>
      </c>
      <c r="B24" s="34" t="s">
        <v>37</v>
      </c>
      <c r="C24" s="9" t="s">
        <v>12</v>
      </c>
      <c r="D24" s="8" t="s">
        <v>49</v>
      </c>
      <c r="E24" s="3" t="s">
        <v>13</v>
      </c>
      <c r="F24" s="31" t="s">
        <v>13</v>
      </c>
      <c r="G24" s="3" t="s">
        <v>13</v>
      </c>
      <c r="H24" s="3" t="s">
        <v>13</v>
      </c>
      <c r="I24" s="3" t="s">
        <v>13</v>
      </c>
      <c r="J24" s="3" t="s">
        <v>13</v>
      </c>
      <c r="K24" s="3" t="s">
        <v>13</v>
      </c>
      <c r="L24" s="3" t="s">
        <v>13</v>
      </c>
      <c r="M24" s="31" t="s">
        <v>13</v>
      </c>
      <c r="N24" s="3" t="s">
        <v>13</v>
      </c>
      <c r="O24" s="3" t="s">
        <v>13</v>
      </c>
      <c r="P24" s="3" t="s">
        <v>13</v>
      </c>
      <c r="Q24" s="3" t="s">
        <v>13</v>
      </c>
      <c r="R24" s="3" t="s">
        <v>13</v>
      </c>
      <c r="S24" s="3" t="s">
        <v>13</v>
      </c>
      <c r="T24" s="31" t="s">
        <v>13</v>
      </c>
      <c r="U24" s="3" t="s">
        <v>13</v>
      </c>
      <c r="V24" s="3" t="s">
        <v>13</v>
      </c>
      <c r="W24" s="3" t="s">
        <v>13</v>
      </c>
      <c r="X24" s="3" t="s">
        <v>13</v>
      </c>
      <c r="Y24" s="3" t="s">
        <v>13</v>
      </c>
      <c r="Z24" s="3" t="s">
        <v>13</v>
      </c>
      <c r="AA24" s="31" t="s">
        <v>13</v>
      </c>
      <c r="AB24" s="3" t="s">
        <v>13</v>
      </c>
      <c r="AC24" s="3" t="s">
        <v>13</v>
      </c>
      <c r="AD24" s="3" t="s">
        <v>13</v>
      </c>
      <c r="AE24" s="3" t="s">
        <v>13</v>
      </c>
      <c r="AF24" s="3" t="s">
        <v>13</v>
      </c>
      <c r="AG24" s="3" t="s">
        <v>13</v>
      </c>
      <c r="AH24" s="31" t="s">
        <v>13</v>
      </c>
      <c r="AI24" s="8">
        <f t="shared" si="2"/>
        <v>0</v>
      </c>
      <c r="AJ24" s="12">
        <f t="shared" si="1"/>
        <v>1</v>
      </c>
      <c r="AK24" s="12"/>
    </row>
    <row r="25" spans="1:37" s="15" customFormat="1" ht="22.15" customHeight="1" x14ac:dyDescent="0.25">
      <c r="A25" s="12">
        <v>17</v>
      </c>
      <c r="B25" s="27" t="s">
        <v>59</v>
      </c>
      <c r="C25" s="9" t="s">
        <v>12</v>
      </c>
      <c r="D25" s="3" t="s">
        <v>13</v>
      </c>
      <c r="E25" s="3" t="s">
        <v>13</v>
      </c>
      <c r="F25" s="31" t="s">
        <v>13</v>
      </c>
      <c r="G25" s="3" t="s">
        <v>13</v>
      </c>
      <c r="H25" s="3" t="s">
        <v>13</v>
      </c>
      <c r="I25" s="3" t="s">
        <v>13</v>
      </c>
      <c r="J25" s="3" t="s">
        <v>13</v>
      </c>
      <c r="K25" s="3" t="s">
        <v>13</v>
      </c>
      <c r="L25" s="3" t="s">
        <v>13</v>
      </c>
      <c r="M25" s="31" t="s">
        <v>13</v>
      </c>
      <c r="N25" s="3" t="s">
        <v>13</v>
      </c>
      <c r="O25" s="3" t="s">
        <v>13</v>
      </c>
      <c r="P25" s="3" t="s">
        <v>13</v>
      </c>
      <c r="Q25" s="3" t="s">
        <v>13</v>
      </c>
      <c r="R25" s="3" t="s">
        <v>13</v>
      </c>
      <c r="S25" s="3" t="s">
        <v>13</v>
      </c>
      <c r="T25" s="31" t="s">
        <v>13</v>
      </c>
      <c r="U25" s="3" t="s">
        <v>13</v>
      </c>
      <c r="V25" s="3" t="s">
        <v>13</v>
      </c>
      <c r="W25" s="3" t="s">
        <v>13</v>
      </c>
      <c r="X25" s="3" t="s">
        <v>13</v>
      </c>
      <c r="Y25" s="3" t="s">
        <v>13</v>
      </c>
      <c r="Z25" s="3" t="s">
        <v>13</v>
      </c>
      <c r="AA25" s="31" t="s">
        <v>13</v>
      </c>
      <c r="AB25" s="3" t="s">
        <v>13</v>
      </c>
      <c r="AC25" s="3" t="s">
        <v>13</v>
      </c>
      <c r="AD25" s="3" t="s">
        <v>13</v>
      </c>
      <c r="AE25" s="3" t="s">
        <v>13</v>
      </c>
      <c r="AF25" s="3" t="s">
        <v>13</v>
      </c>
      <c r="AG25" s="3" t="s">
        <v>13</v>
      </c>
      <c r="AH25" s="31" t="s">
        <v>13</v>
      </c>
      <c r="AI25" s="12">
        <f t="shared" si="2"/>
        <v>0</v>
      </c>
      <c r="AJ25" s="12">
        <f t="shared" si="1"/>
        <v>1</v>
      </c>
      <c r="AK25" s="12"/>
    </row>
    <row r="26" spans="1:37" s="15" customFormat="1" ht="22.15" customHeight="1" x14ac:dyDescent="0.25">
      <c r="A26" s="12">
        <v>18</v>
      </c>
      <c r="B26" s="27" t="s">
        <v>31</v>
      </c>
      <c r="C26" s="9" t="s">
        <v>12</v>
      </c>
      <c r="D26" s="8">
        <v>11</v>
      </c>
      <c r="E26" s="8">
        <v>11</v>
      </c>
      <c r="F26" s="30">
        <v>11</v>
      </c>
      <c r="G26" s="8">
        <v>11</v>
      </c>
      <c r="H26" s="8">
        <v>11</v>
      </c>
      <c r="I26" s="10" t="s">
        <v>42</v>
      </c>
      <c r="J26" s="8">
        <v>11</v>
      </c>
      <c r="K26" s="8">
        <v>11</v>
      </c>
      <c r="L26" s="10" t="s">
        <v>7</v>
      </c>
      <c r="M26" s="10" t="s">
        <v>7</v>
      </c>
      <c r="N26" s="10" t="s">
        <v>42</v>
      </c>
      <c r="O26" s="8">
        <v>11</v>
      </c>
      <c r="P26" s="8">
        <v>11</v>
      </c>
      <c r="Q26" s="8">
        <v>11</v>
      </c>
      <c r="R26" s="8">
        <v>11</v>
      </c>
      <c r="S26" s="8">
        <v>11</v>
      </c>
      <c r="T26" s="44" t="s">
        <v>65</v>
      </c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6"/>
      <c r="AI26" s="12">
        <f t="shared" si="2"/>
        <v>132</v>
      </c>
      <c r="AJ26" s="12">
        <f t="shared" si="1"/>
        <v>13</v>
      </c>
      <c r="AK26" s="12"/>
    </row>
    <row r="27" spans="1:37" s="15" customFormat="1" ht="22.15" customHeight="1" x14ac:dyDescent="0.25">
      <c r="A27" s="12">
        <v>19</v>
      </c>
      <c r="B27" s="27" t="s">
        <v>34</v>
      </c>
      <c r="C27" s="9" t="s">
        <v>12</v>
      </c>
      <c r="D27" s="3" t="s">
        <v>13</v>
      </c>
      <c r="E27" s="3" t="s">
        <v>13</v>
      </c>
      <c r="F27" s="31" t="s">
        <v>13</v>
      </c>
      <c r="G27" s="3" t="s">
        <v>13</v>
      </c>
      <c r="H27" s="3" t="s">
        <v>13</v>
      </c>
      <c r="I27" s="3" t="s">
        <v>13</v>
      </c>
      <c r="J27" s="3" t="s">
        <v>13</v>
      </c>
      <c r="K27" s="3" t="s">
        <v>13</v>
      </c>
      <c r="L27" s="3" t="s">
        <v>13</v>
      </c>
      <c r="M27" s="31" t="s">
        <v>13</v>
      </c>
      <c r="N27" s="3" t="s">
        <v>13</v>
      </c>
      <c r="O27" s="3" t="s">
        <v>13</v>
      </c>
      <c r="P27" s="3" t="s">
        <v>13</v>
      </c>
      <c r="Q27" s="3" t="s">
        <v>13</v>
      </c>
      <c r="R27" s="3" t="s">
        <v>13</v>
      </c>
      <c r="S27" s="3" t="s">
        <v>13</v>
      </c>
      <c r="T27" s="31" t="s">
        <v>13</v>
      </c>
      <c r="U27" s="3" t="s">
        <v>13</v>
      </c>
      <c r="V27" s="3" t="s">
        <v>13</v>
      </c>
      <c r="W27" s="3" t="s">
        <v>13</v>
      </c>
      <c r="X27" s="3" t="s">
        <v>13</v>
      </c>
      <c r="Y27" s="3" t="s">
        <v>13</v>
      </c>
      <c r="Z27" s="3" t="s">
        <v>13</v>
      </c>
      <c r="AA27" s="31" t="s">
        <v>13</v>
      </c>
      <c r="AB27" s="3" t="s">
        <v>13</v>
      </c>
      <c r="AC27" s="3" t="s">
        <v>13</v>
      </c>
      <c r="AD27" s="3" t="s">
        <v>13</v>
      </c>
      <c r="AE27" s="3" t="s">
        <v>13</v>
      </c>
      <c r="AF27" s="3" t="s">
        <v>13</v>
      </c>
      <c r="AG27" s="3" t="s">
        <v>13</v>
      </c>
      <c r="AH27" s="31" t="s">
        <v>13</v>
      </c>
      <c r="AI27" s="12">
        <f t="shared" si="2"/>
        <v>0</v>
      </c>
      <c r="AJ27" s="12">
        <f t="shared" si="1"/>
        <v>1</v>
      </c>
      <c r="AK27" s="12"/>
    </row>
    <row r="28" spans="1:37" s="16" customFormat="1" ht="22.15" customHeight="1" x14ac:dyDescent="0.25">
      <c r="A28" s="12">
        <v>20</v>
      </c>
      <c r="B28" s="27" t="s">
        <v>14</v>
      </c>
      <c r="C28" s="9" t="s">
        <v>12</v>
      </c>
      <c r="D28" s="8">
        <v>11</v>
      </c>
      <c r="E28" s="8">
        <v>11</v>
      </c>
      <c r="F28" s="30">
        <v>11</v>
      </c>
      <c r="G28" s="8">
        <v>11</v>
      </c>
      <c r="H28" s="8">
        <v>11</v>
      </c>
      <c r="I28" s="10" t="s">
        <v>42</v>
      </c>
      <c r="J28" s="9" t="s">
        <v>49</v>
      </c>
      <c r="K28" s="3" t="s">
        <v>13</v>
      </c>
      <c r="L28" s="3" t="s">
        <v>13</v>
      </c>
      <c r="M28" s="31" t="s">
        <v>13</v>
      </c>
      <c r="N28" s="3" t="s">
        <v>13</v>
      </c>
      <c r="O28" s="3" t="s">
        <v>13</v>
      </c>
      <c r="P28" s="3" t="s">
        <v>13</v>
      </c>
      <c r="Q28" s="3" t="s">
        <v>13</v>
      </c>
      <c r="R28" s="3" t="s">
        <v>13</v>
      </c>
      <c r="S28" s="3" t="s">
        <v>13</v>
      </c>
      <c r="T28" s="31" t="s">
        <v>13</v>
      </c>
      <c r="U28" s="3" t="s">
        <v>13</v>
      </c>
      <c r="V28" s="3" t="s">
        <v>13</v>
      </c>
      <c r="W28" s="3" t="s">
        <v>13</v>
      </c>
      <c r="X28" s="3" t="s">
        <v>13</v>
      </c>
      <c r="Y28" s="3" t="s">
        <v>13</v>
      </c>
      <c r="Z28" s="3" t="s">
        <v>13</v>
      </c>
      <c r="AA28" s="31" t="s">
        <v>13</v>
      </c>
      <c r="AB28" s="3" t="s">
        <v>13</v>
      </c>
      <c r="AC28" s="3" t="s">
        <v>13</v>
      </c>
      <c r="AD28" s="3" t="s">
        <v>13</v>
      </c>
      <c r="AE28" s="3" t="s">
        <v>13</v>
      </c>
      <c r="AF28" s="3" t="s">
        <v>13</v>
      </c>
      <c r="AG28" s="3" t="s">
        <v>13</v>
      </c>
      <c r="AH28" s="31" t="s">
        <v>13</v>
      </c>
      <c r="AI28" s="8">
        <f t="shared" si="2"/>
        <v>55</v>
      </c>
      <c r="AJ28" s="12">
        <f t="shared" si="1"/>
        <v>6</v>
      </c>
      <c r="AK28" s="12"/>
    </row>
    <row r="29" spans="1:37" s="15" customFormat="1" ht="22.15" customHeight="1" x14ac:dyDescent="0.25">
      <c r="A29" s="12">
        <v>21</v>
      </c>
      <c r="B29" s="27" t="s">
        <v>58</v>
      </c>
      <c r="C29" s="7" t="s">
        <v>62</v>
      </c>
      <c r="D29" s="3" t="s">
        <v>13</v>
      </c>
      <c r="E29" s="3" t="s">
        <v>13</v>
      </c>
      <c r="F29" s="31" t="s">
        <v>13</v>
      </c>
      <c r="G29" s="3" t="s">
        <v>13</v>
      </c>
      <c r="H29" s="3" t="s">
        <v>13</v>
      </c>
      <c r="I29" s="3" t="s">
        <v>13</v>
      </c>
      <c r="J29" s="3" t="s">
        <v>13</v>
      </c>
      <c r="K29" s="3" t="s">
        <v>13</v>
      </c>
      <c r="L29" s="3" t="s">
        <v>13</v>
      </c>
      <c r="M29" s="31" t="s">
        <v>13</v>
      </c>
      <c r="N29" s="3" t="s">
        <v>13</v>
      </c>
      <c r="O29" s="3" t="s">
        <v>13</v>
      </c>
      <c r="P29" s="3" t="s">
        <v>13</v>
      </c>
      <c r="Q29" s="3" t="s">
        <v>13</v>
      </c>
      <c r="R29" s="3" t="s">
        <v>13</v>
      </c>
      <c r="S29" s="3" t="s">
        <v>13</v>
      </c>
      <c r="T29" s="31" t="s">
        <v>13</v>
      </c>
      <c r="U29" s="3" t="s">
        <v>13</v>
      </c>
      <c r="V29" s="3" t="s">
        <v>13</v>
      </c>
      <c r="W29" s="3" t="s">
        <v>13</v>
      </c>
      <c r="X29" s="3" t="s">
        <v>13</v>
      </c>
      <c r="Y29" s="3" t="s">
        <v>13</v>
      </c>
      <c r="Z29" s="3" t="s">
        <v>13</v>
      </c>
      <c r="AA29" s="31" t="s">
        <v>13</v>
      </c>
      <c r="AB29" s="3" t="s">
        <v>13</v>
      </c>
      <c r="AC29" s="3" t="s">
        <v>13</v>
      </c>
      <c r="AD29" s="3" t="s">
        <v>49</v>
      </c>
      <c r="AE29" s="3"/>
      <c r="AF29" s="3"/>
      <c r="AG29" s="3">
        <v>11</v>
      </c>
      <c r="AH29" s="31"/>
      <c r="AI29" s="8">
        <f t="shared" si="2"/>
        <v>11</v>
      </c>
      <c r="AJ29" s="12">
        <f t="shared" si="1"/>
        <v>2</v>
      </c>
      <c r="AK29" s="12"/>
    </row>
    <row r="30" spans="1:37" s="15" customFormat="1" ht="22.15" customHeight="1" x14ac:dyDescent="0.25">
      <c r="A30" s="12">
        <v>22</v>
      </c>
      <c r="B30" s="27" t="s">
        <v>57</v>
      </c>
      <c r="C30" s="9" t="s">
        <v>12</v>
      </c>
      <c r="D30" s="10" t="s">
        <v>7</v>
      </c>
      <c r="E30" s="10" t="s">
        <v>7</v>
      </c>
      <c r="F30" s="10" t="s">
        <v>7</v>
      </c>
      <c r="G30" s="8">
        <v>11</v>
      </c>
      <c r="H30" s="8">
        <v>11</v>
      </c>
      <c r="I30" s="9">
        <v>11</v>
      </c>
      <c r="J30" s="8">
        <v>11</v>
      </c>
      <c r="K30" s="8">
        <v>11</v>
      </c>
      <c r="L30" s="10" t="s">
        <v>7</v>
      </c>
      <c r="M30" s="30">
        <v>11</v>
      </c>
      <c r="N30" s="8">
        <v>11</v>
      </c>
      <c r="O30" s="8">
        <v>11</v>
      </c>
      <c r="P30" s="8">
        <v>11</v>
      </c>
      <c r="Q30" s="8">
        <v>11</v>
      </c>
      <c r="R30" s="8">
        <v>11</v>
      </c>
      <c r="S30" s="8">
        <v>11</v>
      </c>
      <c r="T30" s="30">
        <v>11</v>
      </c>
      <c r="U30" s="8">
        <v>11</v>
      </c>
      <c r="V30" s="8">
        <v>11</v>
      </c>
      <c r="W30" s="8">
        <v>11</v>
      </c>
      <c r="X30" s="8">
        <v>11</v>
      </c>
      <c r="Y30" s="8">
        <v>11</v>
      </c>
      <c r="Z30" s="8">
        <v>11</v>
      </c>
      <c r="AA30" s="30">
        <v>11</v>
      </c>
      <c r="AB30" s="8">
        <v>11</v>
      </c>
      <c r="AC30" s="8">
        <v>11</v>
      </c>
      <c r="AD30" s="8">
        <v>11</v>
      </c>
      <c r="AE30" s="8">
        <v>11</v>
      </c>
      <c r="AF30" s="8">
        <v>11</v>
      </c>
      <c r="AG30" s="8">
        <v>11</v>
      </c>
      <c r="AH30" s="30"/>
      <c r="AI30" s="8">
        <f t="shared" si="2"/>
        <v>286</v>
      </c>
      <c r="AJ30" s="12">
        <f t="shared" si="1"/>
        <v>27</v>
      </c>
      <c r="AK30" s="12"/>
    </row>
    <row r="31" spans="1:37" s="15" customFormat="1" ht="22.15" customHeight="1" x14ac:dyDescent="0.25">
      <c r="A31" s="12">
        <v>23</v>
      </c>
      <c r="B31" s="27" t="s">
        <v>39</v>
      </c>
      <c r="C31" s="9" t="s">
        <v>12</v>
      </c>
      <c r="D31" s="8">
        <v>11</v>
      </c>
      <c r="E31" s="8">
        <v>11</v>
      </c>
      <c r="F31" s="10" t="s">
        <v>7</v>
      </c>
      <c r="G31" s="11" t="s">
        <v>42</v>
      </c>
      <c r="H31" s="8">
        <v>11</v>
      </c>
      <c r="I31" s="8">
        <v>11</v>
      </c>
      <c r="J31" s="8">
        <v>11</v>
      </c>
      <c r="K31" s="8">
        <v>11</v>
      </c>
      <c r="L31" s="10" t="s">
        <v>7</v>
      </c>
      <c r="M31" s="30">
        <v>11</v>
      </c>
      <c r="N31" s="8">
        <v>11</v>
      </c>
      <c r="O31" s="8">
        <v>11</v>
      </c>
      <c r="P31" s="8">
        <v>11</v>
      </c>
      <c r="Q31" s="10" t="s">
        <v>42</v>
      </c>
      <c r="R31" s="8">
        <v>11</v>
      </c>
      <c r="S31" s="8">
        <v>11</v>
      </c>
      <c r="T31" s="30">
        <v>11</v>
      </c>
      <c r="U31" s="8">
        <v>11</v>
      </c>
      <c r="V31" s="8">
        <v>11</v>
      </c>
      <c r="W31" s="8">
        <v>11</v>
      </c>
      <c r="X31" s="10" t="s">
        <v>42</v>
      </c>
      <c r="Y31" s="8">
        <v>11</v>
      </c>
      <c r="Z31" s="8">
        <v>11</v>
      </c>
      <c r="AA31" s="30">
        <v>11</v>
      </c>
      <c r="AB31" s="8">
        <v>11</v>
      </c>
      <c r="AC31" s="8">
        <v>11</v>
      </c>
      <c r="AD31" s="8">
        <v>11</v>
      </c>
      <c r="AE31" s="8">
        <v>11</v>
      </c>
      <c r="AF31" s="8">
        <v>11</v>
      </c>
      <c r="AG31" s="8">
        <v>11</v>
      </c>
      <c r="AH31" s="30"/>
      <c r="AI31" s="8">
        <f t="shared" si="2"/>
        <v>275</v>
      </c>
      <c r="AJ31" s="12">
        <f t="shared" si="1"/>
        <v>26</v>
      </c>
      <c r="AK31" s="12"/>
    </row>
    <row r="32" spans="1:37" s="15" customFormat="1" ht="22.15" customHeight="1" x14ac:dyDescent="0.25">
      <c r="A32" s="12">
        <v>24</v>
      </c>
      <c r="B32" s="27" t="s">
        <v>26</v>
      </c>
      <c r="C32" s="7" t="s">
        <v>62</v>
      </c>
      <c r="D32" s="32" t="s">
        <v>49</v>
      </c>
      <c r="E32" s="3" t="s">
        <v>13</v>
      </c>
      <c r="F32" s="31" t="s">
        <v>13</v>
      </c>
      <c r="G32" s="3" t="s">
        <v>13</v>
      </c>
      <c r="H32" s="3" t="s">
        <v>13</v>
      </c>
      <c r="I32" s="3" t="s">
        <v>13</v>
      </c>
      <c r="J32" s="3" t="s">
        <v>13</v>
      </c>
      <c r="K32" s="3" t="s">
        <v>13</v>
      </c>
      <c r="L32" s="3" t="s">
        <v>13</v>
      </c>
      <c r="M32" s="31" t="s">
        <v>13</v>
      </c>
      <c r="N32" s="3" t="s">
        <v>13</v>
      </c>
      <c r="O32" s="3" t="s">
        <v>13</v>
      </c>
      <c r="P32" s="3" t="s">
        <v>13</v>
      </c>
      <c r="Q32" s="3" t="s">
        <v>13</v>
      </c>
      <c r="R32" s="3" t="s">
        <v>13</v>
      </c>
      <c r="S32" s="3" t="s">
        <v>13</v>
      </c>
      <c r="T32" s="31" t="s">
        <v>13</v>
      </c>
      <c r="U32" s="3" t="s">
        <v>13</v>
      </c>
      <c r="V32" s="3" t="s">
        <v>13</v>
      </c>
      <c r="W32" s="3" t="s">
        <v>13</v>
      </c>
      <c r="X32" s="3" t="s">
        <v>13</v>
      </c>
      <c r="Y32" s="3" t="s">
        <v>13</v>
      </c>
      <c r="Z32" s="8" t="s">
        <v>49</v>
      </c>
      <c r="AA32" s="35"/>
      <c r="AB32" s="8">
        <v>11</v>
      </c>
      <c r="AC32" s="33">
        <v>11</v>
      </c>
      <c r="AD32" s="33">
        <v>11</v>
      </c>
      <c r="AE32" s="33">
        <v>11</v>
      </c>
      <c r="AF32" s="33">
        <v>11</v>
      </c>
      <c r="AG32" s="33">
        <v>11</v>
      </c>
      <c r="AH32" s="30"/>
      <c r="AI32" s="12">
        <f t="shared" si="2"/>
        <v>66</v>
      </c>
      <c r="AJ32" s="12">
        <f t="shared" si="1"/>
        <v>7</v>
      </c>
      <c r="AK32" s="12"/>
    </row>
    <row r="33" spans="1:37" s="15" customFormat="1" ht="22.15" customHeight="1" x14ac:dyDescent="0.25">
      <c r="A33" s="12">
        <v>26</v>
      </c>
      <c r="B33" s="27" t="s">
        <v>15</v>
      </c>
      <c r="C33" s="9" t="s">
        <v>12</v>
      </c>
      <c r="D33" s="41" t="s">
        <v>45</v>
      </c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3"/>
      <c r="AI33" s="12">
        <f t="shared" si="2"/>
        <v>0</v>
      </c>
      <c r="AJ33" s="12">
        <f t="shared" si="1"/>
        <v>1</v>
      </c>
      <c r="AK33" s="12"/>
    </row>
    <row r="34" spans="1:37" s="15" customFormat="1" ht="22.15" customHeight="1" x14ac:dyDescent="0.25">
      <c r="A34" s="12">
        <v>27</v>
      </c>
      <c r="B34" s="27" t="s">
        <v>56</v>
      </c>
      <c r="C34" s="7" t="s">
        <v>62</v>
      </c>
      <c r="D34" s="8">
        <v>11</v>
      </c>
      <c r="E34" s="8">
        <v>11</v>
      </c>
      <c r="F34" s="30">
        <v>11</v>
      </c>
      <c r="G34" s="8">
        <v>11</v>
      </c>
      <c r="H34" s="8">
        <v>11</v>
      </c>
      <c r="I34" s="8">
        <v>11</v>
      </c>
      <c r="J34" s="8">
        <v>11</v>
      </c>
      <c r="K34" s="8">
        <v>11</v>
      </c>
      <c r="L34" s="10" t="s">
        <v>7</v>
      </c>
      <c r="M34" s="30">
        <v>11</v>
      </c>
      <c r="N34" s="8">
        <v>11</v>
      </c>
      <c r="O34" s="8">
        <v>11</v>
      </c>
      <c r="P34" s="8">
        <v>11</v>
      </c>
      <c r="Q34" s="8">
        <v>11</v>
      </c>
      <c r="R34" s="8">
        <v>11</v>
      </c>
      <c r="S34" s="8">
        <v>11</v>
      </c>
      <c r="T34" s="30">
        <v>11</v>
      </c>
      <c r="U34" s="8">
        <v>11</v>
      </c>
      <c r="V34" s="8">
        <v>11</v>
      </c>
      <c r="W34" s="8">
        <v>11</v>
      </c>
      <c r="X34" s="8">
        <v>11</v>
      </c>
      <c r="Y34" s="8">
        <v>11</v>
      </c>
      <c r="Z34" s="8">
        <v>11</v>
      </c>
      <c r="AA34" s="10" t="s">
        <v>7</v>
      </c>
      <c r="AB34" s="3">
        <v>11</v>
      </c>
      <c r="AC34" s="3">
        <v>11</v>
      </c>
      <c r="AD34" s="3">
        <v>11</v>
      </c>
      <c r="AE34" s="3">
        <v>11</v>
      </c>
      <c r="AF34" s="3">
        <v>11</v>
      </c>
      <c r="AG34" s="3">
        <v>11</v>
      </c>
      <c r="AH34" s="31"/>
      <c r="AI34" s="8">
        <f t="shared" si="2"/>
        <v>308</v>
      </c>
      <c r="AJ34" s="12">
        <f t="shared" si="1"/>
        <v>29</v>
      </c>
      <c r="AK34" s="12"/>
    </row>
    <row r="35" spans="1:37" s="15" customFormat="1" ht="22.15" customHeight="1" x14ac:dyDescent="0.25">
      <c r="A35" s="12">
        <v>28</v>
      </c>
      <c r="B35" s="27" t="s">
        <v>38</v>
      </c>
      <c r="C35" s="9" t="s">
        <v>12</v>
      </c>
      <c r="D35" s="3" t="s">
        <v>13</v>
      </c>
      <c r="E35" s="3" t="s">
        <v>13</v>
      </c>
      <c r="F35" s="31" t="s">
        <v>13</v>
      </c>
      <c r="G35" s="3" t="s">
        <v>13</v>
      </c>
      <c r="H35" s="3" t="s">
        <v>13</v>
      </c>
      <c r="I35" s="3" t="s">
        <v>13</v>
      </c>
      <c r="J35" s="3" t="s">
        <v>13</v>
      </c>
      <c r="K35" s="3" t="s">
        <v>13</v>
      </c>
      <c r="L35" s="3" t="s">
        <v>13</v>
      </c>
      <c r="M35" s="31" t="s">
        <v>13</v>
      </c>
      <c r="N35" s="3" t="s">
        <v>13</v>
      </c>
      <c r="O35" s="3" t="s">
        <v>13</v>
      </c>
      <c r="P35" s="3" t="s">
        <v>13</v>
      </c>
      <c r="Q35" s="3" t="s">
        <v>13</v>
      </c>
      <c r="R35" s="3" t="s">
        <v>49</v>
      </c>
      <c r="S35" s="3">
        <v>11</v>
      </c>
      <c r="T35" s="31">
        <v>11</v>
      </c>
      <c r="U35" s="3">
        <v>11</v>
      </c>
      <c r="V35" s="3">
        <v>11</v>
      </c>
      <c r="W35" s="3">
        <v>11</v>
      </c>
      <c r="X35" s="3">
        <v>11</v>
      </c>
      <c r="Y35" s="3">
        <v>11</v>
      </c>
      <c r="Z35" s="3">
        <v>11</v>
      </c>
      <c r="AA35" s="31">
        <v>11</v>
      </c>
      <c r="AB35" s="3">
        <v>11</v>
      </c>
      <c r="AC35" s="3">
        <v>11</v>
      </c>
      <c r="AD35" s="3">
        <v>11</v>
      </c>
      <c r="AE35" s="3">
        <v>11</v>
      </c>
      <c r="AF35" s="3">
        <v>11</v>
      </c>
      <c r="AG35" s="3">
        <v>11</v>
      </c>
      <c r="AH35" s="30"/>
      <c r="AI35" s="8">
        <f t="shared" si="2"/>
        <v>165</v>
      </c>
      <c r="AJ35" s="12">
        <f t="shared" si="1"/>
        <v>16</v>
      </c>
      <c r="AK35" s="12"/>
    </row>
    <row r="36" spans="1:37" s="15" customFormat="1" ht="22.15" customHeight="1" x14ac:dyDescent="0.25">
      <c r="A36" s="12">
        <v>29</v>
      </c>
      <c r="B36" s="27" t="s">
        <v>16</v>
      </c>
      <c r="C36" s="9" t="s">
        <v>12</v>
      </c>
      <c r="D36" s="41" t="s">
        <v>45</v>
      </c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3"/>
      <c r="AI36" s="12">
        <f t="shared" si="2"/>
        <v>0</v>
      </c>
      <c r="AJ36" s="12">
        <f t="shared" si="1"/>
        <v>1</v>
      </c>
      <c r="AK36" s="12"/>
    </row>
    <row r="37" spans="1:37" s="15" customFormat="1" ht="22.15" customHeight="1" x14ac:dyDescent="0.25">
      <c r="A37" s="12">
        <v>30</v>
      </c>
      <c r="B37" s="34" t="s">
        <v>55</v>
      </c>
      <c r="C37" s="3" t="s">
        <v>12</v>
      </c>
      <c r="D37" s="8">
        <v>11</v>
      </c>
      <c r="E37" s="8">
        <v>11</v>
      </c>
      <c r="F37" s="30">
        <v>11</v>
      </c>
      <c r="G37" s="9">
        <v>11</v>
      </c>
      <c r="H37" s="8">
        <v>11</v>
      </c>
      <c r="I37" s="8">
        <v>11</v>
      </c>
      <c r="J37" s="8">
        <v>11</v>
      </c>
      <c r="K37" s="8">
        <v>11</v>
      </c>
      <c r="L37" s="10" t="s">
        <v>7</v>
      </c>
      <c r="M37" s="30">
        <v>11</v>
      </c>
      <c r="N37" s="8">
        <v>11</v>
      </c>
      <c r="O37" s="8">
        <v>11</v>
      </c>
      <c r="P37" s="8">
        <v>11</v>
      </c>
      <c r="Q37" s="8">
        <v>11</v>
      </c>
      <c r="R37" s="8">
        <v>11</v>
      </c>
      <c r="S37" s="8">
        <v>11</v>
      </c>
      <c r="T37" s="30">
        <v>11</v>
      </c>
      <c r="U37" s="8">
        <v>11</v>
      </c>
      <c r="V37" s="8">
        <v>11</v>
      </c>
      <c r="W37" s="8">
        <v>11</v>
      </c>
      <c r="X37" s="8">
        <v>11</v>
      </c>
      <c r="Y37" s="8">
        <v>11</v>
      </c>
      <c r="Z37" s="8">
        <v>11</v>
      </c>
      <c r="AA37" s="10" t="s">
        <v>7</v>
      </c>
      <c r="AB37" s="8">
        <v>11</v>
      </c>
      <c r="AC37" s="8">
        <v>11</v>
      </c>
      <c r="AD37" s="8">
        <v>11</v>
      </c>
      <c r="AE37" s="8">
        <v>11</v>
      </c>
      <c r="AF37" s="8">
        <v>11</v>
      </c>
      <c r="AG37" s="8">
        <v>11</v>
      </c>
      <c r="AH37" s="30"/>
      <c r="AI37" s="8">
        <f t="shared" si="2"/>
        <v>308</v>
      </c>
      <c r="AJ37" s="12">
        <f t="shared" si="1"/>
        <v>29</v>
      </c>
      <c r="AK37" s="12"/>
    </row>
    <row r="38" spans="1:37" s="15" customFormat="1" ht="22.15" customHeight="1" x14ac:dyDescent="0.25">
      <c r="A38" s="12">
        <v>31</v>
      </c>
      <c r="B38" s="27" t="s">
        <v>54</v>
      </c>
      <c r="C38" s="3" t="s">
        <v>12</v>
      </c>
      <c r="D38" s="2" t="s">
        <v>13</v>
      </c>
      <c r="E38" s="2" t="s">
        <v>13</v>
      </c>
      <c r="F38" s="30" t="s">
        <v>13</v>
      </c>
      <c r="G38" s="2" t="s">
        <v>13</v>
      </c>
      <c r="H38" s="2" t="s">
        <v>13</v>
      </c>
      <c r="I38" s="2" t="s">
        <v>13</v>
      </c>
      <c r="J38" s="2" t="s">
        <v>13</v>
      </c>
      <c r="K38" s="2" t="s">
        <v>13</v>
      </c>
      <c r="L38" s="2" t="s">
        <v>13</v>
      </c>
      <c r="M38" s="30" t="s">
        <v>13</v>
      </c>
      <c r="N38" s="8" t="s">
        <v>13</v>
      </c>
      <c r="O38" s="8" t="s">
        <v>13</v>
      </c>
      <c r="P38" s="8" t="s">
        <v>13</v>
      </c>
      <c r="Q38" s="8" t="s">
        <v>13</v>
      </c>
      <c r="R38" s="8" t="s">
        <v>13</v>
      </c>
      <c r="S38" s="8" t="s">
        <v>13</v>
      </c>
      <c r="T38" s="30" t="s">
        <v>13</v>
      </c>
      <c r="U38" s="8" t="s">
        <v>13</v>
      </c>
      <c r="V38" s="8" t="s">
        <v>13</v>
      </c>
      <c r="W38" s="8" t="s">
        <v>13</v>
      </c>
      <c r="X38" s="8" t="s">
        <v>13</v>
      </c>
      <c r="Y38" s="8" t="s">
        <v>13</v>
      </c>
      <c r="Z38" s="8" t="s">
        <v>13</v>
      </c>
      <c r="AA38" s="31" t="s">
        <v>13</v>
      </c>
      <c r="AB38" s="3" t="s">
        <v>13</v>
      </c>
      <c r="AC38" s="3" t="s">
        <v>13</v>
      </c>
      <c r="AD38" s="3" t="s">
        <v>13</v>
      </c>
      <c r="AE38" s="3" t="s">
        <v>13</v>
      </c>
      <c r="AF38" s="3" t="s">
        <v>13</v>
      </c>
      <c r="AG38" s="3" t="s">
        <v>13</v>
      </c>
      <c r="AH38" s="31" t="s">
        <v>13</v>
      </c>
      <c r="AI38" s="8">
        <f t="shared" si="2"/>
        <v>0</v>
      </c>
      <c r="AJ38" s="12">
        <f t="shared" si="1"/>
        <v>1</v>
      </c>
      <c r="AK38" s="4"/>
    </row>
    <row r="39" spans="1:37" s="15" customFormat="1" ht="22.15" customHeight="1" x14ac:dyDescent="0.25">
      <c r="A39" s="12">
        <v>32</v>
      </c>
      <c r="B39" s="27" t="s">
        <v>27</v>
      </c>
      <c r="C39" s="9" t="s">
        <v>12</v>
      </c>
      <c r="D39" s="8">
        <v>11</v>
      </c>
      <c r="E39" s="8">
        <v>11</v>
      </c>
      <c r="F39" s="30">
        <v>11</v>
      </c>
      <c r="G39" s="8">
        <v>11</v>
      </c>
      <c r="H39" s="8">
        <v>11</v>
      </c>
      <c r="I39" s="8">
        <v>11</v>
      </c>
      <c r="J39" s="8">
        <v>11</v>
      </c>
      <c r="K39" s="10" t="s">
        <v>42</v>
      </c>
      <c r="L39" s="10" t="s">
        <v>7</v>
      </c>
      <c r="M39" s="30">
        <v>11</v>
      </c>
      <c r="N39" s="8">
        <v>11</v>
      </c>
      <c r="O39" s="8">
        <v>11</v>
      </c>
      <c r="P39" s="8">
        <v>11</v>
      </c>
      <c r="Q39" s="8">
        <v>11</v>
      </c>
      <c r="R39" s="8">
        <v>11</v>
      </c>
      <c r="S39" s="8">
        <v>11</v>
      </c>
      <c r="T39" s="30">
        <v>11</v>
      </c>
      <c r="U39" s="8">
        <v>11</v>
      </c>
      <c r="V39" s="8">
        <v>11</v>
      </c>
      <c r="W39" s="8">
        <v>11</v>
      </c>
      <c r="X39" s="8">
        <v>11</v>
      </c>
      <c r="Y39" s="8">
        <v>11</v>
      </c>
      <c r="Z39" s="8">
        <v>11</v>
      </c>
      <c r="AA39" s="30">
        <v>11</v>
      </c>
      <c r="AB39" s="8">
        <v>11</v>
      </c>
      <c r="AC39" s="8">
        <v>11</v>
      </c>
      <c r="AD39" s="8">
        <v>11</v>
      </c>
      <c r="AE39" s="8">
        <v>11</v>
      </c>
      <c r="AF39" s="8">
        <v>11</v>
      </c>
      <c r="AG39" s="8">
        <v>11</v>
      </c>
      <c r="AH39" s="30"/>
      <c r="AI39" s="12">
        <f t="shared" si="2"/>
        <v>308</v>
      </c>
      <c r="AJ39" s="12">
        <f t="shared" si="1"/>
        <v>29</v>
      </c>
      <c r="AK39" s="12"/>
    </row>
    <row r="40" spans="1:37" s="15" customFormat="1" ht="22.15" customHeight="1" x14ac:dyDescent="0.25">
      <c r="A40" s="12">
        <v>33</v>
      </c>
      <c r="B40" s="27" t="s">
        <v>30</v>
      </c>
      <c r="C40" s="9" t="s">
        <v>12</v>
      </c>
      <c r="D40" s="8">
        <v>11</v>
      </c>
      <c r="E40" s="8">
        <v>11</v>
      </c>
      <c r="F40" s="30">
        <v>11</v>
      </c>
      <c r="G40" s="8">
        <v>11</v>
      </c>
      <c r="H40" s="8">
        <v>11</v>
      </c>
      <c r="I40" s="10" t="s">
        <v>42</v>
      </c>
      <c r="J40" s="8">
        <v>11</v>
      </c>
      <c r="K40" s="8">
        <v>11</v>
      </c>
      <c r="L40" s="10" t="s">
        <v>7</v>
      </c>
      <c r="M40" s="10" t="s">
        <v>7</v>
      </c>
      <c r="N40" s="8">
        <v>11</v>
      </c>
      <c r="O40" s="8">
        <v>11</v>
      </c>
      <c r="P40" s="8">
        <v>11</v>
      </c>
      <c r="Q40" s="8">
        <v>11</v>
      </c>
      <c r="R40" s="8">
        <v>11</v>
      </c>
      <c r="S40" s="8">
        <v>11</v>
      </c>
      <c r="T40" s="30">
        <v>11</v>
      </c>
      <c r="U40" s="3" t="s">
        <v>13</v>
      </c>
      <c r="V40" s="3" t="s">
        <v>13</v>
      </c>
      <c r="W40" s="3" t="s">
        <v>13</v>
      </c>
      <c r="X40" s="3" t="s">
        <v>13</v>
      </c>
      <c r="Y40" s="3" t="s">
        <v>13</v>
      </c>
      <c r="Z40" s="3" t="s">
        <v>13</v>
      </c>
      <c r="AA40" s="31" t="s">
        <v>13</v>
      </c>
      <c r="AB40" s="3" t="s">
        <v>13</v>
      </c>
      <c r="AC40" s="3" t="s">
        <v>13</v>
      </c>
      <c r="AD40" s="3" t="s">
        <v>13</v>
      </c>
      <c r="AE40" s="3" t="s">
        <v>13</v>
      </c>
      <c r="AF40" s="3" t="s">
        <v>13</v>
      </c>
      <c r="AG40" s="3" t="s">
        <v>13</v>
      </c>
      <c r="AH40" s="31" t="s">
        <v>13</v>
      </c>
      <c r="AI40" s="12">
        <f t="shared" si="2"/>
        <v>154</v>
      </c>
      <c r="AJ40" s="12">
        <f t="shared" si="1"/>
        <v>15</v>
      </c>
      <c r="AK40" s="12"/>
    </row>
    <row r="41" spans="1:37" s="15" customFormat="1" ht="22.15" customHeight="1" x14ac:dyDescent="0.25">
      <c r="A41" s="12">
        <v>34</v>
      </c>
      <c r="B41" s="27" t="s">
        <v>28</v>
      </c>
      <c r="C41" s="7" t="s">
        <v>62</v>
      </c>
      <c r="D41" s="2" t="s">
        <v>13</v>
      </c>
      <c r="E41" s="2" t="s">
        <v>13</v>
      </c>
      <c r="F41" s="30" t="s">
        <v>13</v>
      </c>
      <c r="G41" s="2" t="s">
        <v>13</v>
      </c>
      <c r="H41" s="2" t="s">
        <v>13</v>
      </c>
      <c r="I41" s="2" t="s">
        <v>13</v>
      </c>
      <c r="J41" s="2" t="s">
        <v>13</v>
      </c>
      <c r="K41" s="2" t="s">
        <v>13</v>
      </c>
      <c r="L41" s="2" t="s">
        <v>13</v>
      </c>
      <c r="M41" s="30" t="s">
        <v>13</v>
      </c>
      <c r="N41" s="8" t="s">
        <v>13</v>
      </c>
      <c r="O41" s="8" t="s">
        <v>13</v>
      </c>
      <c r="P41" s="8" t="s">
        <v>13</v>
      </c>
      <c r="Q41" s="8" t="s">
        <v>13</v>
      </c>
      <c r="R41" s="8" t="s">
        <v>13</v>
      </c>
      <c r="S41" s="8" t="s">
        <v>13</v>
      </c>
      <c r="T41" s="30" t="s">
        <v>13</v>
      </c>
      <c r="U41" s="8" t="s">
        <v>13</v>
      </c>
      <c r="V41" s="8" t="s">
        <v>13</v>
      </c>
      <c r="W41" s="8" t="s">
        <v>13</v>
      </c>
      <c r="X41" s="8" t="s">
        <v>13</v>
      </c>
      <c r="Y41" s="8" t="s">
        <v>13</v>
      </c>
      <c r="Z41" s="8" t="s">
        <v>13</v>
      </c>
      <c r="AA41" s="31" t="s">
        <v>13</v>
      </c>
      <c r="AB41" s="3" t="s">
        <v>13</v>
      </c>
      <c r="AC41" s="3" t="s">
        <v>49</v>
      </c>
      <c r="AD41" s="8">
        <v>11</v>
      </c>
      <c r="AE41" s="8">
        <v>11</v>
      </c>
      <c r="AF41" s="8">
        <v>11</v>
      </c>
      <c r="AG41" s="8">
        <v>11</v>
      </c>
      <c r="AH41" s="30"/>
      <c r="AI41" s="12">
        <f t="shared" si="2"/>
        <v>44</v>
      </c>
      <c r="AJ41" s="12">
        <f t="shared" si="1"/>
        <v>5</v>
      </c>
      <c r="AK41" s="12"/>
    </row>
    <row r="42" spans="1:37" s="15" customFormat="1" ht="22.15" customHeight="1" x14ac:dyDescent="0.25">
      <c r="A42" s="12">
        <v>35</v>
      </c>
      <c r="B42" s="34" t="s">
        <v>29</v>
      </c>
      <c r="C42" s="9" t="s">
        <v>12</v>
      </c>
      <c r="D42" s="8">
        <v>11</v>
      </c>
      <c r="E42" s="8">
        <v>11</v>
      </c>
      <c r="F42" s="30">
        <v>11</v>
      </c>
      <c r="G42" s="8">
        <v>11</v>
      </c>
      <c r="H42" s="8">
        <v>11</v>
      </c>
      <c r="I42" s="10" t="s">
        <v>7</v>
      </c>
      <c r="J42" s="8">
        <v>11</v>
      </c>
      <c r="K42" s="8">
        <v>11</v>
      </c>
      <c r="L42" s="10" t="s">
        <v>7</v>
      </c>
      <c r="M42" s="30">
        <v>11</v>
      </c>
      <c r="N42" s="8">
        <v>11</v>
      </c>
      <c r="O42" s="8">
        <v>11</v>
      </c>
      <c r="P42" s="8">
        <v>11</v>
      </c>
      <c r="Q42" s="8">
        <v>11</v>
      </c>
      <c r="R42" s="8">
        <v>11</v>
      </c>
      <c r="S42" s="8">
        <v>11</v>
      </c>
      <c r="T42" s="30">
        <v>11</v>
      </c>
      <c r="U42" s="8">
        <v>11</v>
      </c>
      <c r="V42" s="8">
        <v>11</v>
      </c>
      <c r="W42" s="8">
        <v>11</v>
      </c>
      <c r="X42" s="8">
        <v>11</v>
      </c>
      <c r="Y42" s="8">
        <v>11</v>
      </c>
      <c r="Z42" s="8">
        <v>11</v>
      </c>
      <c r="AA42" s="30">
        <v>11</v>
      </c>
      <c r="AB42" s="8">
        <v>11</v>
      </c>
      <c r="AC42" s="8">
        <v>11</v>
      </c>
      <c r="AD42" s="8">
        <v>11</v>
      </c>
      <c r="AE42" s="8">
        <v>11</v>
      </c>
      <c r="AF42" s="8">
        <v>11</v>
      </c>
      <c r="AG42" s="8">
        <v>11</v>
      </c>
      <c r="AH42" s="30"/>
      <c r="AI42" s="12">
        <f t="shared" si="2"/>
        <v>308</v>
      </c>
      <c r="AJ42" s="12">
        <f t="shared" si="1"/>
        <v>29</v>
      </c>
      <c r="AK42" s="12"/>
    </row>
    <row r="43" spans="1:37" s="15" customFormat="1" ht="22.15" customHeight="1" x14ac:dyDescent="0.25">
      <c r="A43" s="12">
        <v>36</v>
      </c>
      <c r="B43" s="27" t="s">
        <v>51</v>
      </c>
      <c r="C43" s="7" t="s">
        <v>62</v>
      </c>
      <c r="D43" s="2" t="s">
        <v>13</v>
      </c>
      <c r="E43" s="2" t="s">
        <v>13</v>
      </c>
      <c r="F43" s="30" t="s">
        <v>13</v>
      </c>
      <c r="G43" s="2" t="s">
        <v>13</v>
      </c>
      <c r="H43" s="2" t="s">
        <v>13</v>
      </c>
      <c r="I43" s="2" t="s">
        <v>13</v>
      </c>
      <c r="J43" s="2" t="s">
        <v>13</v>
      </c>
      <c r="K43" s="2" t="s">
        <v>13</v>
      </c>
      <c r="L43" s="2" t="s">
        <v>13</v>
      </c>
      <c r="M43" s="30">
        <v>11</v>
      </c>
      <c r="N43" s="8">
        <v>11</v>
      </c>
      <c r="O43" s="8">
        <v>11</v>
      </c>
      <c r="P43" s="8">
        <v>11</v>
      </c>
      <c r="Q43" s="8">
        <v>11</v>
      </c>
      <c r="R43" s="8">
        <v>11</v>
      </c>
      <c r="S43" s="8">
        <v>11</v>
      </c>
      <c r="T43" s="30">
        <v>11</v>
      </c>
      <c r="U43" s="8">
        <v>11</v>
      </c>
      <c r="V43" s="8">
        <v>11</v>
      </c>
      <c r="W43" s="8">
        <v>11</v>
      </c>
      <c r="X43" s="8">
        <v>11</v>
      </c>
      <c r="Y43" s="8">
        <v>11</v>
      </c>
      <c r="Z43" s="10" t="s">
        <v>42</v>
      </c>
      <c r="AA43" s="30">
        <v>11</v>
      </c>
      <c r="AB43" s="9">
        <v>11</v>
      </c>
      <c r="AC43" s="8">
        <v>11</v>
      </c>
      <c r="AD43" s="8">
        <v>11</v>
      </c>
      <c r="AE43" s="8">
        <v>11</v>
      </c>
      <c r="AF43" s="8">
        <v>11</v>
      </c>
      <c r="AG43" s="8">
        <v>11</v>
      </c>
      <c r="AH43" s="30"/>
      <c r="AI43" s="8">
        <f t="shared" si="2"/>
        <v>220</v>
      </c>
      <c r="AJ43" s="12">
        <f t="shared" si="1"/>
        <v>21</v>
      </c>
      <c r="AK43" s="12"/>
    </row>
    <row r="44" spans="1:37" s="15" customFormat="1" ht="22.15" customHeight="1" x14ac:dyDescent="0.25">
      <c r="A44" s="12">
        <v>37</v>
      </c>
      <c r="B44" s="27" t="s">
        <v>50</v>
      </c>
      <c r="C44" s="9" t="s">
        <v>19</v>
      </c>
      <c r="D44" s="8">
        <v>11</v>
      </c>
      <c r="E44" s="36">
        <v>11</v>
      </c>
      <c r="F44" s="30">
        <v>11</v>
      </c>
      <c r="G44" s="8">
        <v>11</v>
      </c>
      <c r="H44" s="8">
        <v>11</v>
      </c>
      <c r="I44" s="8">
        <v>11</v>
      </c>
      <c r="J44" s="8">
        <v>11</v>
      </c>
      <c r="K44" s="33">
        <v>11</v>
      </c>
      <c r="L44" s="8" t="s">
        <v>7</v>
      </c>
      <c r="M44" s="30">
        <v>11</v>
      </c>
      <c r="N44" s="8">
        <v>11</v>
      </c>
      <c r="O44" s="8">
        <v>11</v>
      </c>
      <c r="P44" s="8">
        <v>11</v>
      </c>
      <c r="Q44" s="8">
        <v>11</v>
      </c>
      <c r="R44" s="10" t="s">
        <v>42</v>
      </c>
      <c r="S44" s="8" t="s">
        <v>49</v>
      </c>
      <c r="T44" s="31" t="s">
        <v>13</v>
      </c>
      <c r="U44" s="3" t="s">
        <v>13</v>
      </c>
      <c r="V44" s="3" t="s">
        <v>13</v>
      </c>
      <c r="W44" s="3" t="s">
        <v>13</v>
      </c>
      <c r="X44" s="3" t="s">
        <v>13</v>
      </c>
      <c r="Y44" s="3" t="s">
        <v>13</v>
      </c>
      <c r="Z44" s="3" t="s">
        <v>13</v>
      </c>
      <c r="AA44" s="31" t="s">
        <v>13</v>
      </c>
      <c r="AB44" s="3" t="s">
        <v>13</v>
      </c>
      <c r="AC44" s="3" t="s">
        <v>13</v>
      </c>
      <c r="AD44" s="3" t="s">
        <v>13</v>
      </c>
      <c r="AE44" s="3" t="s">
        <v>13</v>
      </c>
      <c r="AF44" s="3" t="s">
        <v>13</v>
      </c>
      <c r="AG44" s="3" t="s">
        <v>13</v>
      </c>
      <c r="AH44" s="31" t="s">
        <v>13</v>
      </c>
      <c r="AI44" s="8">
        <f t="shared" si="2"/>
        <v>143</v>
      </c>
      <c r="AJ44" s="12">
        <f t="shared" si="1"/>
        <v>14</v>
      </c>
      <c r="AK44" s="12"/>
    </row>
    <row r="45" spans="1:37" s="15" customFormat="1" ht="22.15" customHeight="1" x14ac:dyDescent="0.25">
      <c r="A45" s="12">
        <v>38</v>
      </c>
      <c r="B45" s="34" t="s">
        <v>52</v>
      </c>
      <c r="C45" s="9" t="s">
        <v>12</v>
      </c>
      <c r="D45" s="2" t="s">
        <v>13</v>
      </c>
      <c r="E45" s="2" t="s">
        <v>13</v>
      </c>
      <c r="F45" s="30" t="s">
        <v>13</v>
      </c>
      <c r="G45" s="2" t="s">
        <v>13</v>
      </c>
      <c r="H45" s="2" t="s">
        <v>13</v>
      </c>
      <c r="I45" s="2" t="s">
        <v>13</v>
      </c>
      <c r="J45" s="2" t="s">
        <v>13</v>
      </c>
      <c r="K45" s="2" t="s">
        <v>13</v>
      </c>
      <c r="L45" s="2" t="s">
        <v>13</v>
      </c>
      <c r="M45" s="31" t="s">
        <v>13</v>
      </c>
      <c r="N45" s="9" t="s">
        <v>13</v>
      </c>
      <c r="O45" s="9" t="s">
        <v>13</v>
      </c>
      <c r="P45" s="9" t="s">
        <v>13</v>
      </c>
      <c r="Q45" s="9" t="s">
        <v>49</v>
      </c>
      <c r="R45" s="9">
        <v>11</v>
      </c>
      <c r="S45" s="9">
        <v>11</v>
      </c>
      <c r="T45" s="44" t="s">
        <v>65</v>
      </c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6"/>
      <c r="AI45" s="8">
        <f t="shared" si="2"/>
        <v>22</v>
      </c>
      <c r="AJ45" s="12">
        <f t="shared" si="1"/>
        <v>3</v>
      </c>
      <c r="AK45" s="12"/>
    </row>
    <row r="46" spans="1:37" s="15" customFormat="1" ht="22.15" customHeight="1" x14ac:dyDescent="0.25">
      <c r="A46" s="12">
        <v>39</v>
      </c>
      <c r="B46" s="28" t="s">
        <v>24</v>
      </c>
      <c r="C46" s="9" t="s">
        <v>12</v>
      </c>
      <c r="D46" s="2" t="s">
        <v>13</v>
      </c>
      <c r="E46" s="2" t="s">
        <v>13</v>
      </c>
      <c r="F46" s="30" t="s">
        <v>13</v>
      </c>
      <c r="G46" s="2" t="s">
        <v>13</v>
      </c>
      <c r="H46" s="2" t="s">
        <v>13</v>
      </c>
      <c r="I46" s="2" t="s">
        <v>13</v>
      </c>
      <c r="J46" s="2" t="s">
        <v>13</v>
      </c>
      <c r="K46" s="2" t="s">
        <v>13</v>
      </c>
      <c r="L46" s="2" t="s">
        <v>13</v>
      </c>
      <c r="M46" s="30" t="s">
        <v>13</v>
      </c>
      <c r="N46" s="8" t="s">
        <v>13</v>
      </c>
      <c r="O46" s="8" t="s">
        <v>13</v>
      </c>
      <c r="P46" s="8" t="s">
        <v>13</v>
      </c>
      <c r="Q46" s="8" t="s">
        <v>13</v>
      </c>
      <c r="R46" s="8" t="s">
        <v>13</v>
      </c>
      <c r="S46" s="8" t="s">
        <v>13</v>
      </c>
      <c r="T46" s="30" t="s">
        <v>49</v>
      </c>
      <c r="U46" s="8">
        <v>11</v>
      </c>
      <c r="V46" s="8">
        <v>11</v>
      </c>
      <c r="W46" s="8">
        <v>11</v>
      </c>
      <c r="X46" s="8">
        <v>11</v>
      </c>
      <c r="Y46" s="8">
        <v>11</v>
      </c>
      <c r="Z46" s="8">
        <v>11</v>
      </c>
      <c r="AA46" s="30">
        <v>11</v>
      </c>
      <c r="AB46" s="8">
        <v>11</v>
      </c>
      <c r="AC46" s="8">
        <v>11</v>
      </c>
      <c r="AD46" s="8">
        <v>11</v>
      </c>
      <c r="AE46" s="8">
        <v>11</v>
      </c>
      <c r="AF46" s="8">
        <v>11</v>
      </c>
      <c r="AG46" s="8">
        <v>11</v>
      </c>
      <c r="AH46" s="30"/>
      <c r="AI46" s="12">
        <f t="shared" si="2"/>
        <v>143</v>
      </c>
      <c r="AJ46" s="12">
        <f t="shared" si="1"/>
        <v>14</v>
      </c>
      <c r="AK46" s="12"/>
    </row>
    <row r="47" spans="1:37" s="15" customFormat="1" ht="22.15" customHeight="1" x14ac:dyDescent="0.25">
      <c r="A47" s="12">
        <v>40</v>
      </c>
      <c r="B47" s="27" t="s">
        <v>53</v>
      </c>
      <c r="C47" s="9" t="s">
        <v>12</v>
      </c>
      <c r="D47" s="2" t="s">
        <v>13</v>
      </c>
      <c r="E47" s="2" t="s">
        <v>13</v>
      </c>
      <c r="F47" s="30" t="s">
        <v>13</v>
      </c>
      <c r="G47" s="2" t="s">
        <v>13</v>
      </c>
      <c r="H47" s="2" t="s">
        <v>13</v>
      </c>
      <c r="I47" s="2" t="s">
        <v>13</v>
      </c>
      <c r="J47" s="2" t="s">
        <v>13</v>
      </c>
      <c r="K47" s="2" t="s">
        <v>13</v>
      </c>
      <c r="L47" s="2" t="s">
        <v>13</v>
      </c>
      <c r="M47" s="30" t="s">
        <v>13</v>
      </c>
      <c r="N47" s="8" t="s">
        <v>13</v>
      </c>
      <c r="O47" s="8" t="s">
        <v>13</v>
      </c>
      <c r="P47" s="8" t="s">
        <v>13</v>
      </c>
      <c r="Q47" s="8" t="s">
        <v>13</v>
      </c>
      <c r="R47" s="8" t="s">
        <v>13</v>
      </c>
      <c r="S47" s="8" t="s">
        <v>13</v>
      </c>
      <c r="T47" s="30" t="s">
        <v>13</v>
      </c>
      <c r="U47" s="8" t="s">
        <v>13</v>
      </c>
      <c r="V47" s="8" t="s">
        <v>13</v>
      </c>
      <c r="W47" s="8" t="s">
        <v>13</v>
      </c>
      <c r="X47" s="8" t="s">
        <v>13</v>
      </c>
      <c r="Y47" s="8" t="s">
        <v>13</v>
      </c>
      <c r="Z47" s="8" t="s">
        <v>13</v>
      </c>
      <c r="AA47" s="31" t="s">
        <v>13</v>
      </c>
      <c r="AB47" s="9" t="s">
        <v>49</v>
      </c>
      <c r="AC47" s="8">
        <v>11</v>
      </c>
      <c r="AD47" s="3">
        <v>11</v>
      </c>
      <c r="AE47" s="3">
        <v>11</v>
      </c>
      <c r="AF47" s="3">
        <v>11</v>
      </c>
      <c r="AG47" s="3">
        <v>11</v>
      </c>
      <c r="AH47" s="31"/>
      <c r="AI47" s="8">
        <f t="shared" si="2"/>
        <v>55</v>
      </c>
      <c r="AJ47" s="12">
        <f t="shared" si="1"/>
        <v>6</v>
      </c>
      <c r="AK47" s="12"/>
    </row>
    <row r="48" spans="1:37" s="15" customFormat="1" ht="22.15" customHeight="1" x14ac:dyDescent="0.25">
      <c r="A48" s="12">
        <v>41</v>
      </c>
      <c r="B48" s="27" t="s">
        <v>40</v>
      </c>
      <c r="C48" s="9" t="s">
        <v>12</v>
      </c>
      <c r="D48" s="2" t="s">
        <v>49</v>
      </c>
      <c r="E48" s="3" t="s">
        <v>13</v>
      </c>
      <c r="F48" s="31" t="s">
        <v>13</v>
      </c>
      <c r="G48" s="3" t="s">
        <v>13</v>
      </c>
      <c r="H48" s="3" t="s">
        <v>13</v>
      </c>
      <c r="I48" s="3" t="s">
        <v>13</v>
      </c>
      <c r="J48" s="3" t="s">
        <v>13</v>
      </c>
      <c r="K48" s="3" t="s">
        <v>13</v>
      </c>
      <c r="L48" s="3" t="s">
        <v>13</v>
      </c>
      <c r="M48" s="31" t="s">
        <v>13</v>
      </c>
      <c r="N48" s="3" t="s">
        <v>13</v>
      </c>
      <c r="O48" s="3" t="s">
        <v>13</v>
      </c>
      <c r="P48" s="3" t="s">
        <v>13</v>
      </c>
      <c r="Q48" s="3" t="s">
        <v>13</v>
      </c>
      <c r="R48" s="3" t="s">
        <v>13</v>
      </c>
      <c r="S48" s="3" t="s">
        <v>13</v>
      </c>
      <c r="T48" s="31" t="s">
        <v>13</v>
      </c>
      <c r="U48" s="3" t="s">
        <v>13</v>
      </c>
      <c r="V48" s="3" t="s">
        <v>13</v>
      </c>
      <c r="W48" s="3" t="s">
        <v>13</v>
      </c>
      <c r="X48" s="3" t="s">
        <v>13</v>
      </c>
      <c r="Y48" s="3" t="s">
        <v>13</v>
      </c>
      <c r="Z48" s="3" t="s">
        <v>13</v>
      </c>
      <c r="AA48" s="31" t="s">
        <v>13</v>
      </c>
      <c r="AB48" s="9" t="s">
        <v>49</v>
      </c>
      <c r="AC48" s="8">
        <v>11</v>
      </c>
      <c r="AD48" s="3">
        <v>11</v>
      </c>
      <c r="AE48" s="3">
        <v>11</v>
      </c>
      <c r="AF48" s="3">
        <v>11</v>
      </c>
      <c r="AG48" s="3">
        <v>11</v>
      </c>
      <c r="AH48" s="31"/>
      <c r="AI48" s="8">
        <f t="shared" si="2"/>
        <v>55</v>
      </c>
      <c r="AJ48" s="12">
        <f t="shared" si="1"/>
        <v>6</v>
      </c>
      <c r="AK48" s="12"/>
    </row>
    <row r="49" spans="1:37" s="15" customFormat="1" ht="22.15" customHeight="1" x14ac:dyDescent="0.25">
      <c r="A49" s="12">
        <v>42</v>
      </c>
      <c r="B49" s="27" t="s">
        <v>18</v>
      </c>
      <c r="C49" s="9" t="s">
        <v>12</v>
      </c>
      <c r="D49" s="41" t="s">
        <v>45</v>
      </c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3"/>
      <c r="AI49" s="12">
        <f t="shared" si="2"/>
        <v>0</v>
      </c>
      <c r="AJ49" s="12">
        <f t="shared" si="1"/>
        <v>1</v>
      </c>
      <c r="AK49" s="12"/>
    </row>
  </sheetData>
  <autoFilter ref="A9:AK49" xr:uid="{00000000-0009-0000-0000-000000000000}"/>
  <sortState xmlns:xlrd2="http://schemas.microsoft.com/office/spreadsheetml/2017/richdata2" ref="B10:AK49">
    <sortCondition ref="B10:B49"/>
  </sortState>
  <mergeCells count="17">
    <mergeCell ref="AJ1:AJ2"/>
    <mergeCell ref="AK1:AK2"/>
    <mergeCell ref="A1:A3"/>
    <mergeCell ref="B1:B2"/>
    <mergeCell ref="C1:C2"/>
    <mergeCell ref="D1:AH2"/>
    <mergeCell ref="AI1:AI2"/>
    <mergeCell ref="D16:Q16"/>
    <mergeCell ref="D4:AA4"/>
    <mergeCell ref="D33:AH33"/>
    <mergeCell ref="D36:AH36"/>
    <mergeCell ref="D49:AH49"/>
    <mergeCell ref="T26:AH26"/>
    <mergeCell ref="T45:AH45"/>
    <mergeCell ref="T18:AH18"/>
    <mergeCell ref="S13:AH13"/>
    <mergeCell ref="AB23:AH23"/>
  </mergeCells>
  <conditionalFormatting sqref="B1 B3">
    <cfRule type="duplicateValues" dxfId="69" priority="204"/>
  </conditionalFormatting>
  <conditionalFormatting sqref="B5 B10:B11">
    <cfRule type="duplicateValues" dxfId="68" priority="71"/>
  </conditionalFormatting>
  <conditionalFormatting sqref="B14">
    <cfRule type="duplicateValues" dxfId="67" priority="65"/>
    <cfRule type="duplicateValues" dxfId="66" priority="66"/>
    <cfRule type="duplicateValues" dxfId="65" priority="64"/>
  </conditionalFormatting>
  <conditionalFormatting sqref="B15">
    <cfRule type="duplicateValues" dxfId="64" priority="55"/>
    <cfRule type="duplicateValues" dxfId="63" priority="57"/>
    <cfRule type="duplicateValues" dxfId="62" priority="56"/>
  </conditionalFormatting>
  <conditionalFormatting sqref="B16">
    <cfRule type="duplicateValues" dxfId="61" priority="54"/>
    <cfRule type="duplicateValues" dxfId="60" priority="52"/>
    <cfRule type="duplicateValues" dxfId="59" priority="53"/>
  </conditionalFormatting>
  <conditionalFormatting sqref="B24 B17 B7 B9">
    <cfRule type="duplicateValues" dxfId="58" priority="76"/>
    <cfRule type="duplicateValues" dxfId="57" priority="75"/>
    <cfRule type="duplicateValues" dxfId="56" priority="74"/>
  </conditionalFormatting>
  <conditionalFormatting sqref="B25">
    <cfRule type="duplicateValues" dxfId="55" priority="26"/>
    <cfRule type="duplicateValues" dxfId="54" priority="27"/>
  </conditionalFormatting>
  <conditionalFormatting sqref="B28">
    <cfRule type="duplicateValues" dxfId="53" priority="31"/>
    <cfRule type="duplicateValues" dxfId="52" priority="32"/>
    <cfRule type="duplicateValues" dxfId="51" priority="33"/>
  </conditionalFormatting>
  <conditionalFormatting sqref="B29:B30">
    <cfRule type="duplicateValues" dxfId="50" priority="30"/>
    <cfRule type="duplicateValues" dxfId="49" priority="29"/>
    <cfRule type="duplicateValues" dxfId="48" priority="28"/>
  </conditionalFormatting>
  <conditionalFormatting sqref="B31:B32">
    <cfRule type="duplicateValues" dxfId="47" priority="36"/>
    <cfRule type="duplicateValues" dxfId="46" priority="37"/>
    <cfRule type="duplicateValues" dxfId="45" priority="38"/>
  </conditionalFormatting>
  <conditionalFormatting sqref="B37">
    <cfRule type="duplicateValues" dxfId="44" priority="24"/>
    <cfRule type="duplicateValues" dxfId="43" priority="23"/>
    <cfRule type="duplicateValues" dxfId="42" priority="22"/>
  </conditionalFormatting>
  <conditionalFormatting sqref="B38">
    <cfRule type="duplicateValues" dxfId="41" priority="21"/>
    <cfRule type="duplicateValues" dxfId="40" priority="20"/>
    <cfRule type="duplicateValues" dxfId="39" priority="19"/>
  </conditionalFormatting>
  <conditionalFormatting sqref="B44">
    <cfRule type="duplicateValues" dxfId="38" priority="14"/>
  </conditionalFormatting>
  <conditionalFormatting sqref="B45">
    <cfRule type="duplicateValues" dxfId="37" priority="11"/>
    <cfRule type="duplicateValues" dxfId="36" priority="13"/>
    <cfRule type="duplicateValues" dxfId="35" priority="12"/>
  </conditionalFormatting>
  <conditionalFormatting sqref="B46">
    <cfRule type="duplicateValues" dxfId="34" priority="8"/>
    <cfRule type="duplicateValues" dxfId="33" priority="9"/>
    <cfRule type="duplicateValues" dxfId="32" priority="10"/>
  </conditionalFormatting>
  <conditionalFormatting sqref="C4:C39">
    <cfRule type="cellIs" dxfId="31" priority="41" operator="equal">
      <formula>55</formula>
    </cfRule>
  </conditionalFormatting>
  <conditionalFormatting sqref="G9:H9">
    <cfRule type="cellIs" dxfId="30" priority="39" operator="equal">
      <formula>55</formula>
    </cfRule>
  </conditionalFormatting>
  <conditionalFormatting sqref="G40:H40 C41:C49">
    <cfRule type="cellIs" dxfId="29" priority="42" operator="equal">
      <formula>55</formula>
    </cfRule>
  </conditionalFormatting>
  <conditionalFormatting sqref="G45:L47">
    <cfRule type="cellIs" dxfId="28" priority="4" operator="equal">
      <formula>55</formula>
    </cfRule>
  </conditionalFormatting>
  <conditionalFormatting sqref="H42:I42">
    <cfRule type="cellIs" dxfId="27" priority="1" operator="equal">
      <formula>55</formula>
    </cfRule>
  </conditionalFormatting>
  <conditionalFormatting sqref="J3">
    <cfRule type="cellIs" dxfId="26" priority="44" operator="equal">
      <formula>55</formula>
    </cfRule>
  </conditionalFormatting>
  <conditionalFormatting sqref="L40:T40 AD41:AH42 L42:V42 G43:Y43 AA43:AH43 V46:AH46 AC47:AC48">
    <cfRule type="cellIs" dxfId="25" priority="25" operator="equal">
      <formula>55</formula>
    </cfRule>
  </conditionalFormatting>
  <conditionalFormatting sqref="M41:Z41">
    <cfRule type="cellIs" dxfId="24" priority="2" operator="equal">
      <formula>55</formula>
    </cfRule>
  </conditionalFormatting>
  <conditionalFormatting sqref="P3">
    <cfRule type="cellIs" dxfId="23" priority="43" operator="equal">
      <formula>55</formula>
    </cfRule>
  </conditionalFormatting>
  <conditionalFormatting sqref="S6:AH6 L7:AH9">
    <cfRule type="cellIs" dxfId="22" priority="40" operator="equal">
      <formula>55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B3:C20"/>
  <sheetViews>
    <sheetView workbookViewId="0">
      <selection activeCell="F4" sqref="F4"/>
    </sheetView>
  </sheetViews>
  <sheetFormatPr defaultRowHeight="15" x14ac:dyDescent="0.25"/>
  <cols>
    <col min="2" max="2" width="28.28515625" customWidth="1"/>
    <col min="3" max="3" width="10.7109375" customWidth="1"/>
  </cols>
  <sheetData>
    <row r="3" spans="2:3" x14ac:dyDescent="0.25">
      <c r="B3" s="40"/>
      <c r="C3" s="40"/>
    </row>
    <row r="4" spans="2:3" x14ac:dyDescent="0.25">
      <c r="B4" s="37" t="s">
        <v>35</v>
      </c>
      <c r="C4" s="38" t="s">
        <v>12</v>
      </c>
    </row>
    <row r="5" spans="2:3" x14ac:dyDescent="0.25">
      <c r="B5" s="37" t="s">
        <v>41</v>
      </c>
      <c r="C5" s="38" t="s">
        <v>12</v>
      </c>
    </row>
    <row r="6" spans="2:3" x14ac:dyDescent="0.25">
      <c r="B6" s="37" t="s">
        <v>11</v>
      </c>
      <c r="C6" s="38" t="s">
        <v>62</v>
      </c>
    </row>
    <row r="7" spans="2:3" x14ac:dyDescent="0.25">
      <c r="B7" s="39" t="s">
        <v>61</v>
      </c>
      <c r="C7" s="38" t="s">
        <v>12</v>
      </c>
    </row>
    <row r="8" spans="2:3" x14ac:dyDescent="0.25">
      <c r="B8" s="39" t="s">
        <v>60</v>
      </c>
      <c r="C8" s="38" t="s">
        <v>12</v>
      </c>
    </row>
    <row r="9" spans="2:3" x14ac:dyDescent="0.25">
      <c r="B9" s="39" t="s">
        <v>36</v>
      </c>
      <c r="C9" s="38" t="s">
        <v>12</v>
      </c>
    </row>
    <row r="10" spans="2:3" x14ac:dyDescent="0.25">
      <c r="B10" s="37" t="s">
        <v>31</v>
      </c>
      <c r="C10" s="38" t="s">
        <v>12</v>
      </c>
    </row>
    <row r="11" spans="2:3" x14ac:dyDescent="0.25">
      <c r="B11" s="37" t="s">
        <v>57</v>
      </c>
      <c r="C11" s="38" t="s">
        <v>12</v>
      </c>
    </row>
    <row r="12" spans="2:3" x14ac:dyDescent="0.25">
      <c r="B12" s="37" t="s">
        <v>39</v>
      </c>
      <c r="C12" s="38" t="s">
        <v>12</v>
      </c>
    </row>
    <row r="13" spans="2:3" x14ac:dyDescent="0.25">
      <c r="B13" s="37" t="s">
        <v>56</v>
      </c>
      <c r="C13" s="38" t="s">
        <v>12</v>
      </c>
    </row>
    <row r="14" spans="2:3" x14ac:dyDescent="0.25">
      <c r="B14" s="39" t="s">
        <v>55</v>
      </c>
      <c r="C14" s="38" t="s">
        <v>12</v>
      </c>
    </row>
    <row r="15" spans="2:3" x14ac:dyDescent="0.25">
      <c r="B15" s="37" t="s">
        <v>27</v>
      </c>
      <c r="C15" s="38" t="s">
        <v>12</v>
      </c>
    </row>
    <row r="16" spans="2:3" x14ac:dyDescent="0.25">
      <c r="B16" s="37" t="s">
        <v>30</v>
      </c>
      <c r="C16" s="38" t="s">
        <v>12</v>
      </c>
    </row>
    <row r="17" spans="2:3" x14ac:dyDescent="0.25">
      <c r="B17" s="39" t="s">
        <v>29</v>
      </c>
      <c r="C17" s="38" t="s">
        <v>12</v>
      </c>
    </row>
    <row r="18" spans="2:3" x14ac:dyDescent="0.25">
      <c r="B18" s="37" t="s">
        <v>51</v>
      </c>
      <c r="C18" s="38" t="s">
        <v>62</v>
      </c>
    </row>
    <row r="19" spans="2:3" x14ac:dyDescent="0.25">
      <c r="B19" s="37" t="s">
        <v>50</v>
      </c>
      <c r="C19" s="38" t="s">
        <v>19</v>
      </c>
    </row>
    <row r="20" spans="2:3" x14ac:dyDescent="0.25">
      <c r="B20" s="39" t="s">
        <v>52</v>
      </c>
      <c r="C20" s="38" t="s">
        <v>12</v>
      </c>
    </row>
  </sheetData>
  <autoFilter ref="B3:C20" xr:uid="{00000000-0009-0000-0000-000001000000}"/>
  <conditionalFormatting sqref="B4">
    <cfRule type="duplicateValues" dxfId="21" priority="22"/>
  </conditionalFormatting>
  <conditionalFormatting sqref="B6">
    <cfRule type="duplicateValues" dxfId="20" priority="18"/>
    <cfRule type="duplicateValues" dxfId="19" priority="19"/>
    <cfRule type="duplicateValues" dxfId="18" priority="20"/>
  </conditionalFormatting>
  <conditionalFormatting sqref="B7">
    <cfRule type="duplicateValues" dxfId="17" priority="15"/>
    <cfRule type="duplicateValues" dxfId="16" priority="16"/>
    <cfRule type="duplicateValues" dxfId="15" priority="17"/>
  </conditionalFormatting>
  <conditionalFormatting sqref="B11">
    <cfRule type="duplicateValues" dxfId="14" priority="9"/>
    <cfRule type="duplicateValues" dxfId="13" priority="10"/>
    <cfRule type="duplicateValues" dxfId="12" priority="11"/>
  </conditionalFormatting>
  <conditionalFormatting sqref="B12">
    <cfRule type="duplicateValues" dxfId="11" priority="12"/>
    <cfRule type="duplicateValues" dxfId="10" priority="13"/>
    <cfRule type="duplicateValues" dxfId="9" priority="14"/>
  </conditionalFormatting>
  <conditionalFormatting sqref="B14">
    <cfRule type="duplicateValues" dxfId="8" priority="6"/>
    <cfRule type="duplicateValues" dxfId="7" priority="7"/>
    <cfRule type="duplicateValues" dxfId="6" priority="8"/>
  </conditionalFormatting>
  <conditionalFormatting sqref="B19">
    <cfRule type="duplicateValues" dxfId="5" priority="4"/>
  </conditionalFormatting>
  <conditionalFormatting sqref="B20">
    <cfRule type="duplicateValues" dxfId="4" priority="1"/>
    <cfRule type="duplicateValues" dxfId="3" priority="2"/>
    <cfRule type="duplicateValues" dxfId="2" priority="3"/>
  </conditionalFormatting>
  <conditionalFormatting sqref="C4:C15">
    <cfRule type="cellIs" dxfId="1" priority="21" operator="equal">
      <formula>55</formula>
    </cfRule>
  </conditionalFormatting>
  <conditionalFormatting sqref="C17:C20">
    <cfRule type="cellIs" dxfId="0" priority="5" operator="equal">
      <formula>55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МАЙ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2026-05-30T08:27:32Z</dcterms:modified>
</cp:coreProperties>
</file>