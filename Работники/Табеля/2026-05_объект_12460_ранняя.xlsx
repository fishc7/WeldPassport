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3BD52DDF-E1C6-4904-A73C-5FE091E55A3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definedNames>
    <definedName name="_xlnm._FilterDatabase" localSheetId="0" hidden="1">Лист1!$A$3:$AJ$25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1" i="1" l="1"/>
  <c r="AJ22" i="1"/>
  <c r="AJ23" i="1"/>
  <c r="AJ24" i="1"/>
  <c r="AI21" i="1"/>
  <c r="AI22" i="1"/>
  <c r="AI23" i="1"/>
  <c r="AI24" i="1"/>
  <c r="AJ20" i="1" l="1"/>
  <c r="AJ19" i="1"/>
  <c r="AI20" i="1"/>
  <c r="AJ4" i="1" l="1"/>
  <c r="AJ5" i="1" l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25" i="1" l="1"/>
  <c r="AI4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25" i="1" l="1"/>
</calcChain>
</file>

<file path=xl/sharedStrings.xml><?xml version="1.0" encoding="utf-8"?>
<sst xmlns="http://schemas.openxmlformats.org/spreadsheetml/2006/main" count="125" uniqueCount="38">
  <si>
    <t>ФИО</t>
  </si>
  <si>
    <t>Должность</t>
  </si>
  <si>
    <t xml:space="preserve">Cмена </t>
  </si>
  <si>
    <t>Мастер СМР</t>
  </si>
  <si>
    <t>День</t>
  </si>
  <si>
    <t xml:space="preserve">Клименко Сергей </t>
  </si>
  <si>
    <t>Бернгардт Михаил</t>
  </si>
  <si>
    <t>монтажник</t>
  </si>
  <si>
    <t>Маулен Диас</t>
  </si>
  <si>
    <t>Сыздыкбеков Еламан</t>
  </si>
  <si>
    <t>Кошаков Вячеслав</t>
  </si>
  <si>
    <t>Кошаков Руслан</t>
  </si>
  <si>
    <t>Денисенко Сергей</t>
  </si>
  <si>
    <t>Потапович Александр</t>
  </si>
  <si>
    <t>Куровский Андрей</t>
  </si>
  <si>
    <t>Масленников Павел</t>
  </si>
  <si>
    <t>сварщик</t>
  </si>
  <si>
    <t>Кулагин Евгений</t>
  </si>
  <si>
    <t>Маматкурбанов Умиджан</t>
  </si>
  <si>
    <t xml:space="preserve">Щербина Владимир </t>
  </si>
  <si>
    <t>Гуськов Павел</t>
  </si>
  <si>
    <t>Прошкин Владимир</t>
  </si>
  <si>
    <t>Межиев Ризауддин</t>
  </si>
  <si>
    <t>Май</t>
  </si>
  <si>
    <t>В</t>
  </si>
  <si>
    <t>Межвахта</t>
  </si>
  <si>
    <t xml:space="preserve">Итого 
часов </t>
  </si>
  <si>
    <t>Итого:</t>
  </si>
  <si>
    <t>Итого 
рабочих
дней</t>
  </si>
  <si>
    <t>А</t>
  </si>
  <si>
    <t>Исенов Булат</t>
  </si>
  <si>
    <t>П</t>
  </si>
  <si>
    <t>70 титул</t>
  </si>
  <si>
    <t xml:space="preserve">Вараксин Валентин </t>
  </si>
  <si>
    <t xml:space="preserve">Коваленко Анатолий </t>
  </si>
  <si>
    <t xml:space="preserve">Душаков Андрей </t>
  </si>
  <si>
    <t>Щурин Александр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</si>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</sst>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\.yy"/>
  </numFmts>
  <fonts count="8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color theme="1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1" fontId="2" fillId="3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5" fillId="5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vertical="top"/>
    </xf>
    <xf numFmtId="0" fontId="5" fillId="5" borderId="1" xfId="0" applyFont="1" applyFill="1" applyBorder="1" applyAlignment="1">
      <alignment vertical="top"/>
    </xf>
    <xf numFmtId="0" fontId="4" fillId="5" borderId="1" xfId="0" applyFont="1" applyFill="1" applyBorder="1"/>
    <xf numFmtId="0" fontId="1" fillId="6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/>
    </xf>
    <xf numFmtId="1" fontId="7" fillId="9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/>
    </xf>
    <xf numFmtId="1" fontId="4" fillId="7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" fontId="2" fillId="9" borderId="1" xfId="0" applyNumberFormat="1" applyFont="1" applyFill="1" applyBorder="1" applyAlignment="1">
      <alignment horizontal="center" vertical="center"/>
    </xf>
    <xf numFmtId="1" fontId="2" fillId="3" borderId="8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1" fontId="2" fillId="10" borderId="5" xfId="0" applyNumberFormat="1" applyFont="1" applyFill="1" applyBorder="1" applyAlignment="1">
      <alignment horizontal="center" vertical="center"/>
    </xf>
    <xf numFmtId="1" fontId="2" fillId="10" borderId="6" xfId="0" applyNumberFormat="1" applyFont="1" applyFill="1" applyBorder="1" applyAlignment="1">
      <alignment horizontal="center" vertical="center"/>
    </xf>
    <xf numFmtId="1" fontId="2" fillId="10" borderId="4" xfId="0" applyNumberFormat="1" applyFont="1" applyFill="1" applyBorder="1" applyAlignment="1">
      <alignment horizontal="center" vertical="center"/>
    </xf>
    <xf numFmtId="165" fontId="6" fillId="2" borderId="3" xfId="0" applyNumberFormat="1" applyFont="1" applyFill="1" applyBorder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 wrapText="1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</cellXfs>
  <cellStyles count="1">
    <cellStyle name="Обычный" xfId="0" builtinId="0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25"/>
  <sheetViews>
    <sheetView tabSelected="1" zoomScale="70" zoomScaleNormal="70" workbookViewId="0">
      <selection activeCell="AC55" sqref="AC55"/>
    </sheetView>
  </sheetViews>
  <sheetFormatPr defaultRowHeight="15" x14ac:dyDescent="0.25"/>
  <cols>
    <col min="1" max="1" width="35" customWidth="1"/>
    <col min="2" max="2" width="16.5703125" customWidth="1"/>
    <col min="3" max="3" width="9.5703125" customWidth="1"/>
    <col min="4" max="33" width="8.7109375" customWidth="1"/>
    <col min="34" max="34" width="9.28515625" customWidth="1"/>
    <col min="36" max="36" width="12.42578125" customWidth="1"/>
  </cols>
  <sheetData>
    <row r="1" spans="1:36" ht="15" customHeight="1" x14ac:dyDescent="0.25">
      <c r="A1" s="35" t="s">
        <v>0</v>
      </c>
      <c r="B1" s="35" t="s">
        <v>1</v>
      </c>
      <c r="C1" s="36" t="s">
        <v>2</v>
      </c>
      <c r="D1" s="41" t="s">
        <v>23</v>
      </c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</row>
    <row r="2" spans="1:36" ht="15" customHeight="1" x14ac:dyDescent="0.25">
      <c r="A2" s="35"/>
      <c r="B2" s="35"/>
      <c r="C2" s="37"/>
      <c r="D2" s="41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</row>
    <row r="3" spans="1:36" ht="56.25" x14ac:dyDescent="0.25">
      <c r="A3" s="35"/>
      <c r="B3" s="35"/>
      <c r="C3" s="37"/>
      <c r="D3" s="1">
        <v>1</v>
      </c>
      <c r="E3" s="8">
        <v>2</v>
      </c>
      <c r="F3" s="8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8">
        <v>9</v>
      </c>
      <c r="M3" s="8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8">
        <v>16</v>
      </c>
      <c r="T3" s="8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8">
        <v>23</v>
      </c>
      <c r="AA3" s="8">
        <v>24</v>
      </c>
      <c r="AB3" s="1">
        <v>25</v>
      </c>
      <c r="AC3" s="1">
        <v>26</v>
      </c>
      <c r="AD3" s="1">
        <v>27</v>
      </c>
      <c r="AE3" s="1">
        <v>28</v>
      </c>
      <c r="AF3" s="1">
        <v>29</v>
      </c>
      <c r="AG3" s="8">
        <v>30</v>
      </c>
      <c r="AH3" s="8">
        <v>31</v>
      </c>
      <c r="AI3" s="19" t="s">
        <v>26</v>
      </c>
      <c r="AJ3" s="19" t="s">
        <v>28</v>
      </c>
    </row>
    <row r="4" spans="1:36" s="12" customFormat="1" ht="20.25" hidden="1" customHeight="1" x14ac:dyDescent="0.25">
      <c r="A4" s="13" t="s">
        <v>5</v>
      </c>
      <c r="B4" s="3" t="s">
        <v>3</v>
      </c>
      <c r="C4" s="11" t="s">
        <v>4</v>
      </c>
      <c r="D4" s="10">
        <v>11</v>
      </c>
      <c r="E4" s="8">
        <v>11</v>
      </c>
      <c r="F4" s="8">
        <v>11</v>
      </c>
      <c r="G4" s="10">
        <v>11</v>
      </c>
      <c r="H4" s="10">
        <v>11</v>
      </c>
      <c r="I4" s="6">
        <v>11</v>
      </c>
      <c r="J4" s="6">
        <v>11</v>
      </c>
      <c r="K4" s="6">
        <v>11</v>
      </c>
      <c r="L4" s="18" t="s">
        <v>24</v>
      </c>
      <c r="M4" s="8">
        <v>11</v>
      </c>
      <c r="N4" s="6">
        <v>11</v>
      </c>
      <c r="O4" s="6">
        <v>11</v>
      </c>
      <c r="P4" s="6">
        <v>11</v>
      </c>
      <c r="Q4" s="6">
        <v>11</v>
      </c>
      <c r="R4" s="6">
        <v>11</v>
      </c>
      <c r="S4" s="8">
        <v>11</v>
      </c>
      <c r="T4" s="8">
        <v>11</v>
      </c>
      <c r="U4" s="6">
        <v>11</v>
      </c>
      <c r="V4" s="6">
        <v>11</v>
      </c>
      <c r="W4" s="6">
        <v>11</v>
      </c>
      <c r="X4" s="6">
        <v>11</v>
      </c>
      <c r="Y4" s="6">
        <v>11</v>
      </c>
      <c r="Z4" s="8">
        <v>11</v>
      </c>
      <c r="AA4" s="18" t="s">
        <v>24</v>
      </c>
      <c r="AB4" s="6">
        <v>11</v>
      </c>
      <c r="AC4" s="6">
        <v>11</v>
      </c>
      <c r="AD4" s="6">
        <v>11</v>
      </c>
      <c r="AE4" s="5">
        <v>11</v>
      </c>
      <c r="AF4" s="5">
        <v>11</v>
      </c>
      <c r="AG4" s="8"/>
      <c r="AH4" s="8"/>
      <c r="AI4" s="21">
        <f>SUM(D4:AH4)</f>
        <v>297</v>
      </c>
      <c r="AJ4" s="22">
        <f>COUNTIF(D4:AH4,11)</f>
        <v>27</v>
      </c>
    </row>
    <row r="5" spans="1:36" ht="20.25" hidden="1" x14ac:dyDescent="0.3">
      <c r="A5" s="14" t="s">
        <v>6</v>
      </c>
      <c r="B5" s="9" t="s">
        <v>7</v>
      </c>
      <c r="C5" s="4" t="s">
        <v>4</v>
      </c>
      <c r="D5" s="6">
        <v>11</v>
      </c>
      <c r="E5" s="2">
        <v>11</v>
      </c>
      <c r="F5" s="2">
        <v>11</v>
      </c>
      <c r="G5" s="6">
        <v>11</v>
      </c>
      <c r="H5" s="6">
        <v>11</v>
      </c>
      <c r="I5" s="6">
        <v>11</v>
      </c>
      <c r="J5" s="6">
        <v>11</v>
      </c>
      <c r="K5" s="6">
        <v>11</v>
      </c>
      <c r="L5" s="18" t="s">
        <v>24</v>
      </c>
      <c r="M5" s="2">
        <v>11</v>
      </c>
      <c r="N5" s="6">
        <v>11</v>
      </c>
      <c r="O5" s="6">
        <v>11</v>
      </c>
      <c r="P5" s="6">
        <v>11</v>
      </c>
      <c r="Q5" s="6">
        <v>11</v>
      </c>
      <c r="R5" s="6">
        <v>11</v>
      </c>
      <c r="S5" s="2">
        <v>11</v>
      </c>
      <c r="T5" s="8">
        <v>11</v>
      </c>
      <c r="U5" s="6">
        <v>11</v>
      </c>
      <c r="V5" s="6">
        <v>11</v>
      </c>
      <c r="W5" s="6">
        <v>11</v>
      </c>
      <c r="X5" s="6">
        <v>11</v>
      </c>
      <c r="Y5" s="6">
        <v>11</v>
      </c>
      <c r="Z5" s="2">
        <v>11</v>
      </c>
      <c r="AA5" s="2">
        <v>11</v>
      </c>
      <c r="AB5" s="5">
        <v>11</v>
      </c>
      <c r="AC5" s="5">
        <v>11</v>
      </c>
      <c r="AD5" s="18" t="s">
        <v>24</v>
      </c>
      <c r="AE5" s="5">
        <v>11</v>
      </c>
      <c r="AF5" s="5">
        <v>11</v>
      </c>
      <c r="AG5" s="2"/>
      <c r="AH5" s="2"/>
      <c r="AI5" s="23">
        <f t="shared" ref="AI5:AI19" si="0">SUM(D5:AH5)</f>
        <v>297</v>
      </c>
      <c r="AJ5" s="22">
        <f t="shared" ref="AJ5:AJ18" si="1">COUNTIF(D5:AH5,11)</f>
        <v>27</v>
      </c>
    </row>
    <row r="6" spans="1:36" ht="20.25" hidden="1" x14ac:dyDescent="0.3">
      <c r="A6" s="15" t="s">
        <v>8</v>
      </c>
      <c r="B6" s="9" t="s">
        <v>7</v>
      </c>
      <c r="C6" s="4" t="s">
        <v>4</v>
      </c>
      <c r="D6" s="18" t="s">
        <v>24</v>
      </c>
      <c r="E6" s="38" t="s">
        <v>25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40"/>
      <c r="AI6" s="23">
        <f t="shared" si="0"/>
        <v>0</v>
      </c>
      <c r="AJ6" s="22">
        <f t="shared" si="1"/>
        <v>0</v>
      </c>
    </row>
    <row r="7" spans="1:36" ht="20.25" hidden="1" x14ac:dyDescent="0.3">
      <c r="A7" s="16" t="s">
        <v>9</v>
      </c>
      <c r="B7" s="9" t="s">
        <v>7</v>
      </c>
      <c r="C7" s="4" t="s">
        <v>4</v>
      </c>
      <c r="D7" s="6">
        <v>11</v>
      </c>
      <c r="E7" s="2">
        <v>11</v>
      </c>
      <c r="F7" s="2">
        <v>11</v>
      </c>
      <c r="G7" s="6">
        <v>11</v>
      </c>
      <c r="H7" s="6">
        <v>11</v>
      </c>
      <c r="I7" s="6">
        <v>11</v>
      </c>
      <c r="J7" s="6">
        <v>11</v>
      </c>
      <c r="K7" s="6">
        <v>11</v>
      </c>
      <c r="L7" s="18" t="s">
        <v>24</v>
      </c>
      <c r="M7" s="2">
        <v>11</v>
      </c>
      <c r="N7" s="6">
        <v>11</v>
      </c>
      <c r="O7" s="6">
        <v>11</v>
      </c>
      <c r="P7" s="6">
        <v>11</v>
      </c>
      <c r="Q7" s="6">
        <v>11</v>
      </c>
      <c r="R7" s="6">
        <v>11</v>
      </c>
      <c r="S7" s="2">
        <v>11</v>
      </c>
      <c r="T7" s="18" t="s">
        <v>24</v>
      </c>
      <c r="U7" s="6">
        <v>11</v>
      </c>
      <c r="V7" s="6">
        <v>11</v>
      </c>
      <c r="W7" s="6">
        <v>11</v>
      </c>
      <c r="X7" s="6">
        <v>11</v>
      </c>
      <c r="Y7" s="6">
        <v>11</v>
      </c>
      <c r="Z7" s="2">
        <v>11</v>
      </c>
      <c r="AA7" s="2">
        <v>11</v>
      </c>
      <c r="AB7" s="5">
        <v>11</v>
      </c>
      <c r="AC7" s="5">
        <v>11</v>
      </c>
      <c r="AD7" s="5">
        <v>11</v>
      </c>
      <c r="AE7" s="5">
        <v>11</v>
      </c>
      <c r="AF7" s="5">
        <v>11</v>
      </c>
      <c r="AG7" s="2"/>
      <c r="AH7" s="2"/>
      <c r="AI7" s="23">
        <f t="shared" si="0"/>
        <v>297</v>
      </c>
      <c r="AJ7" s="22">
        <f t="shared" si="1"/>
        <v>27</v>
      </c>
    </row>
    <row r="8" spans="1:36" ht="20.25" hidden="1" x14ac:dyDescent="0.3">
      <c r="A8" s="16" t="s">
        <v>10</v>
      </c>
      <c r="B8" s="9" t="s">
        <v>7</v>
      </c>
      <c r="C8" s="4" t="s">
        <v>4</v>
      </c>
      <c r="D8" s="6">
        <v>11</v>
      </c>
      <c r="E8" s="2">
        <v>11</v>
      </c>
      <c r="F8" s="2">
        <v>11</v>
      </c>
      <c r="G8" s="6">
        <v>11</v>
      </c>
      <c r="H8" s="6">
        <v>11</v>
      </c>
      <c r="I8" s="6">
        <v>11</v>
      </c>
      <c r="J8" s="6">
        <v>11</v>
      </c>
      <c r="K8" s="6">
        <v>11</v>
      </c>
      <c r="L8" s="18" t="s">
        <v>24</v>
      </c>
      <c r="M8" s="2">
        <v>11</v>
      </c>
      <c r="N8" s="6">
        <v>11</v>
      </c>
      <c r="O8" s="6">
        <v>11</v>
      </c>
      <c r="P8" s="6">
        <v>11</v>
      </c>
      <c r="Q8" s="6">
        <v>11</v>
      </c>
      <c r="R8" s="6">
        <v>11</v>
      </c>
      <c r="S8" s="2">
        <v>11</v>
      </c>
      <c r="T8" s="8">
        <v>11</v>
      </c>
      <c r="U8" s="6">
        <v>11</v>
      </c>
      <c r="V8" s="6">
        <v>11</v>
      </c>
      <c r="W8" s="6">
        <v>11</v>
      </c>
      <c r="X8" s="6">
        <v>11</v>
      </c>
      <c r="Y8" s="6">
        <v>11</v>
      </c>
      <c r="Z8" s="2">
        <v>11</v>
      </c>
      <c r="AA8" s="2">
        <v>11</v>
      </c>
      <c r="AB8" s="18" t="s">
        <v>24</v>
      </c>
      <c r="AC8" s="5">
        <v>11</v>
      </c>
      <c r="AD8" s="5">
        <v>11</v>
      </c>
      <c r="AE8" s="5">
        <v>11</v>
      </c>
      <c r="AF8" s="5">
        <v>11</v>
      </c>
      <c r="AG8" s="2" t="s">
        <v>37</v>
      </c>
      <c r="AH8" s="2"/>
      <c r="AI8" s="23">
        <f t="shared" si="0"/>
        <v>297</v>
      </c>
      <c r="AJ8" s="22">
        <f t="shared" si="1"/>
        <v>27</v>
      </c>
    </row>
    <row r="9" spans="1:36" ht="20.25" hidden="1" x14ac:dyDescent="0.3">
      <c r="A9" s="16" t="s">
        <v>11</v>
      </c>
      <c r="B9" s="9" t="s">
        <v>7</v>
      </c>
      <c r="C9" s="4" t="s">
        <v>4</v>
      </c>
      <c r="D9" s="6">
        <v>11</v>
      </c>
      <c r="E9" s="2">
        <v>11</v>
      </c>
      <c r="F9" s="2">
        <v>11</v>
      </c>
      <c r="G9" s="6">
        <v>11</v>
      </c>
      <c r="H9" s="6">
        <v>11</v>
      </c>
      <c r="I9" s="6">
        <v>11</v>
      </c>
      <c r="J9" s="6">
        <v>11</v>
      </c>
      <c r="K9" s="6">
        <v>11</v>
      </c>
      <c r="L9" s="18" t="s">
        <v>24</v>
      </c>
      <c r="M9" s="2">
        <v>11</v>
      </c>
      <c r="N9" s="6">
        <v>11</v>
      </c>
      <c r="O9" s="6">
        <v>11</v>
      </c>
      <c r="P9" s="6">
        <v>11</v>
      </c>
      <c r="Q9" s="6">
        <v>11</v>
      </c>
      <c r="R9" s="6">
        <v>11</v>
      </c>
      <c r="S9" s="2">
        <v>11</v>
      </c>
      <c r="T9" s="8">
        <v>11</v>
      </c>
      <c r="U9" s="6">
        <v>11</v>
      </c>
      <c r="V9" s="6">
        <v>11</v>
      </c>
      <c r="W9" s="6">
        <v>11</v>
      </c>
      <c r="X9" s="6">
        <v>11</v>
      </c>
      <c r="Y9" s="6">
        <v>11</v>
      </c>
      <c r="Z9" s="2">
        <v>11</v>
      </c>
      <c r="AA9" s="2">
        <v>11</v>
      </c>
      <c r="AB9" s="5">
        <v>11</v>
      </c>
      <c r="AC9" s="5">
        <v>11</v>
      </c>
      <c r="AD9" s="5">
        <v>11</v>
      </c>
      <c r="AE9" s="5">
        <v>11</v>
      </c>
      <c r="AF9" s="5">
        <v>11</v>
      </c>
      <c r="AG9" s="2"/>
      <c r="AH9" s="2"/>
      <c r="AI9" s="23">
        <f t="shared" si="0"/>
        <v>308</v>
      </c>
      <c r="AJ9" s="22">
        <f t="shared" si="1"/>
        <v>28</v>
      </c>
    </row>
    <row r="10" spans="1:36" ht="20.25" hidden="1" x14ac:dyDescent="0.3">
      <c r="A10" s="16" t="s">
        <v>12</v>
      </c>
      <c r="B10" s="9" t="s">
        <v>7</v>
      </c>
      <c r="C10" s="4" t="s">
        <v>4</v>
      </c>
      <c r="D10" s="6">
        <v>11</v>
      </c>
      <c r="E10" s="2">
        <v>11</v>
      </c>
      <c r="F10" s="2">
        <v>11</v>
      </c>
      <c r="G10" s="6">
        <v>11</v>
      </c>
      <c r="H10" s="6">
        <v>11</v>
      </c>
      <c r="I10" s="6">
        <v>11</v>
      </c>
      <c r="J10" s="6">
        <v>11</v>
      </c>
      <c r="K10" s="6">
        <v>11</v>
      </c>
      <c r="L10" s="18" t="s">
        <v>24</v>
      </c>
      <c r="M10" s="2">
        <v>11</v>
      </c>
      <c r="N10" s="6">
        <v>11</v>
      </c>
      <c r="O10" s="6">
        <v>11</v>
      </c>
      <c r="P10" s="6">
        <v>11</v>
      </c>
      <c r="Q10" s="6">
        <v>11</v>
      </c>
      <c r="R10" s="6">
        <v>11</v>
      </c>
      <c r="S10" s="2">
        <v>11</v>
      </c>
      <c r="T10" s="8">
        <v>11</v>
      </c>
      <c r="U10" s="6">
        <v>11</v>
      </c>
      <c r="V10" s="6">
        <v>11</v>
      </c>
      <c r="W10" s="6">
        <v>11</v>
      </c>
      <c r="X10" s="6">
        <v>11</v>
      </c>
      <c r="Y10" s="6">
        <v>11</v>
      </c>
      <c r="Z10" s="2">
        <v>11</v>
      </c>
      <c r="AA10" s="2">
        <v>11</v>
      </c>
      <c r="AB10" s="18" t="s">
        <v>24</v>
      </c>
      <c r="AC10" s="5">
        <v>11</v>
      </c>
      <c r="AD10" s="6">
        <v>11</v>
      </c>
      <c r="AE10" s="5">
        <v>11</v>
      </c>
      <c r="AF10" s="5">
        <v>11</v>
      </c>
      <c r="AG10" s="2"/>
      <c r="AH10" s="2"/>
      <c r="AI10" s="23">
        <f t="shared" si="0"/>
        <v>297</v>
      </c>
      <c r="AJ10" s="22">
        <f t="shared" si="1"/>
        <v>27</v>
      </c>
    </row>
    <row r="11" spans="1:36" ht="20.25" hidden="1" x14ac:dyDescent="0.3">
      <c r="A11" s="16" t="s">
        <v>13</v>
      </c>
      <c r="B11" s="9" t="s">
        <v>7</v>
      </c>
      <c r="C11" s="4" t="s">
        <v>4</v>
      </c>
      <c r="D11" s="6">
        <v>11</v>
      </c>
      <c r="E11" s="2">
        <v>11</v>
      </c>
      <c r="F11" s="2">
        <v>11</v>
      </c>
      <c r="G11" s="6">
        <v>11</v>
      </c>
      <c r="H11" s="6">
        <v>11</v>
      </c>
      <c r="I11" s="6">
        <v>11</v>
      </c>
      <c r="J11" s="6">
        <v>11</v>
      </c>
      <c r="K11" s="6">
        <v>11</v>
      </c>
      <c r="L11" s="18" t="s">
        <v>24</v>
      </c>
      <c r="M11" s="2">
        <v>11</v>
      </c>
      <c r="N11" s="6">
        <v>11</v>
      </c>
      <c r="O11" s="6">
        <v>11</v>
      </c>
      <c r="P11" s="6">
        <v>11</v>
      </c>
      <c r="Q11" s="6">
        <v>11</v>
      </c>
      <c r="R11" s="6">
        <v>11</v>
      </c>
      <c r="S11" s="2">
        <v>11</v>
      </c>
      <c r="T11" s="8">
        <v>11</v>
      </c>
      <c r="U11" s="6">
        <v>11</v>
      </c>
      <c r="V11" s="6">
        <v>11</v>
      </c>
      <c r="W11" s="6">
        <v>11</v>
      </c>
      <c r="X11" s="6">
        <v>11</v>
      </c>
      <c r="Y11" s="6">
        <v>11</v>
      </c>
      <c r="Z11" s="2">
        <v>11</v>
      </c>
      <c r="AA11" s="2">
        <v>11</v>
      </c>
      <c r="AB11" s="5">
        <v>11</v>
      </c>
      <c r="AC11" s="18" t="s">
        <v>24</v>
      </c>
      <c r="AD11" s="6">
        <v>11</v>
      </c>
      <c r="AE11" s="5">
        <v>11</v>
      </c>
      <c r="AF11" s="5">
        <v>11</v>
      </c>
      <c r="AG11" s="2"/>
      <c r="AH11" s="2"/>
      <c r="AI11" s="23">
        <f t="shared" si="0"/>
        <v>297</v>
      </c>
      <c r="AJ11" s="22">
        <f t="shared" si="1"/>
        <v>27</v>
      </c>
    </row>
    <row r="12" spans="1:36" ht="20.25" hidden="1" x14ac:dyDescent="0.3">
      <c r="A12" s="16" t="s">
        <v>14</v>
      </c>
      <c r="B12" s="9" t="s">
        <v>7</v>
      </c>
      <c r="C12" s="4" t="s">
        <v>4</v>
      </c>
      <c r="D12" s="6">
        <v>11</v>
      </c>
      <c r="E12" s="2">
        <v>11</v>
      </c>
      <c r="F12" s="2">
        <v>11</v>
      </c>
      <c r="G12" s="10">
        <v>11</v>
      </c>
      <c r="H12" s="6">
        <v>11</v>
      </c>
      <c r="I12" s="10">
        <v>11</v>
      </c>
      <c r="J12" s="10">
        <v>11</v>
      </c>
      <c r="K12" s="10">
        <v>11</v>
      </c>
      <c r="L12" s="18" t="s">
        <v>24</v>
      </c>
      <c r="M12" s="2">
        <v>11</v>
      </c>
      <c r="N12" s="10">
        <v>11</v>
      </c>
      <c r="O12" s="6">
        <v>11</v>
      </c>
      <c r="P12" s="10">
        <v>11</v>
      </c>
      <c r="Q12" s="10">
        <v>11</v>
      </c>
      <c r="R12" s="10">
        <v>11</v>
      </c>
      <c r="S12" s="2">
        <v>11</v>
      </c>
      <c r="T12" s="8">
        <v>11</v>
      </c>
      <c r="U12" s="6">
        <v>11</v>
      </c>
      <c r="V12" s="6">
        <v>11</v>
      </c>
      <c r="W12" s="6">
        <v>11</v>
      </c>
      <c r="X12" s="6">
        <v>11</v>
      </c>
      <c r="Y12" s="6">
        <v>11</v>
      </c>
      <c r="Z12" s="2">
        <v>11</v>
      </c>
      <c r="AA12" s="2">
        <v>11</v>
      </c>
      <c r="AB12" s="18" t="s">
        <v>24</v>
      </c>
      <c r="AC12" s="5">
        <v>11</v>
      </c>
      <c r="AD12" s="5">
        <v>11</v>
      </c>
      <c r="AE12" s="5">
        <v>11</v>
      </c>
      <c r="AF12" s="5">
        <v>11</v>
      </c>
      <c r="AG12" s="2"/>
      <c r="AH12" s="2"/>
      <c r="AI12" s="23">
        <f t="shared" si="0"/>
        <v>297</v>
      </c>
      <c r="AJ12" s="22">
        <f t="shared" si="1"/>
        <v>27</v>
      </c>
    </row>
    <row r="13" spans="1:36" ht="20.25" hidden="1" x14ac:dyDescent="0.3">
      <c r="A13" s="16" t="s">
        <v>15</v>
      </c>
      <c r="B13" s="9" t="s">
        <v>7</v>
      </c>
      <c r="C13" s="4" t="s">
        <v>4</v>
      </c>
      <c r="D13" s="18" t="s">
        <v>24</v>
      </c>
      <c r="E13" s="2">
        <v>11</v>
      </c>
      <c r="F13" s="2">
        <v>11</v>
      </c>
      <c r="G13" s="6">
        <v>11</v>
      </c>
      <c r="H13" s="6">
        <v>11</v>
      </c>
      <c r="I13" s="6">
        <v>11</v>
      </c>
      <c r="J13" s="6">
        <v>11</v>
      </c>
      <c r="K13" s="6">
        <v>11</v>
      </c>
      <c r="L13" s="18" t="s">
        <v>24</v>
      </c>
      <c r="M13" s="2">
        <v>11</v>
      </c>
      <c r="N13" s="6">
        <v>11</v>
      </c>
      <c r="O13" s="6">
        <v>11</v>
      </c>
      <c r="P13" s="6">
        <v>11</v>
      </c>
      <c r="Q13" s="6">
        <v>11</v>
      </c>
      <c r="R13" s="6">
        <v>11</v>
      </c>
      <c r="S13" s="2">
        <v>11</v>
      </c>
      <c r="T13" s="8">
        <v>11</v>
      </c>
      <c r="U13" s="18" t="s">
        <v>24</v>
      </c>
      <c r="V13" s="6">
        <v>11</v>
      </c>
      <c r="W13" s="6">
        <v>11</v>
      </c>
      <c r="X13" s="6">
        <v>11</v>
      </c>
      <c r="Y13" s="6">
        <v>11</v>
      </c>
      <c r="Z13" s="2">
        <v>11</v>
      </c>
      <c r="AA13" s="2">
        <v>11</v>
      </c>
      <c r="AB13" s="5">
        <v>11</v>
      </c>
      <c r="AC13" s="5">
        <v>11</v>
      </c>
      <c r="AD13" s="5">
        <v>11</v>
      </c>
      <c r="AE13" s="5">
        <v>11</v>
      </c>
      <c r="AF13" s="5">
        <v>11</v>
      </c>
      <c r="AG13" s="2"/>
      <c r="AH13" s="2"/>
      <c r="AI13" s="23">
        <f t="shared" si="0"/>
        <v>286</v>
      </c>
      <c r="AJ13" s="22">
        <f t="shared" si="1"/>
        <v>26</v>
      </c>
    </row>
    <row r="14" spans="1:36" ht="20.25" x14ac:dyDescent="0.3">
      <c r="A14" s="16" t="s">
        <v>17</v>
      </c>
      <c r="B14" s="9" t="s">
        <v>16</v>
      </c>
      <c r="C14" s="4" t="s">
        <v>4</v>
      </c>
      <c r="D14" s="6">
        <v>11</v>
      </c>
      <c r="E14" s="2">
        <v>11</v>
      </c>
      <c r="F14" s="2">
        <v>11</v>
      </c>
      <c r="G14" s="6">
        <v>11</v>
      </c>
      <c r="H14" s="18" t="s">
        <v>24</v>
      </c>
      <c r="I14" s="32" t="s">
        <v>25</v>
      </c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4"/>
      <c r="AI14" s="23">
        <f t="shared" si="0"/>
        <v>44</v>
      </c>
      <c r="AJ14" s="22">
        <f t="shared" si="1"/>
        <v>4</v>
      </c>
    </row>
    <row r="15" spans="1:36" ht="20.25" x14ac:dyDescent="0.3">
      <c r="A15" s="16" t="s">
        <v>18</v>
      </c>
      <c r="B15" s="9" t="s">
        <v>16</v>
      </c>
      <c r="C15" s="4" t="s">
        <v>4</v>
      </c>
      <c r="D15" s="6">
        <v>11</v>
      </c>
      <c r="E15" s="2">
        <v>11</v>
      </c>
      <c r="F15" s="2">
        <v>11</v>
      </c>
      <c r="G15" s="6">
        <v>11</v>
      </c>
      <c r="H15" s="6">
        <v>11</v>
      </c>
      <c r="I15" s="6">
        <v>11</v>
      </c>
      <c r="J15" s="6">
        <v>11</v>
      </c>
      <c r="K15" s="6">
        <v>11</v>
      </c>
      <c r="L15" s="18" t="s">
        <v>24</v>
      </c>
      <c r="M15" s="2">
        <v>11</v>
      </c>
      <c r="N15" s="6">
        <v>11</v>
      </c>
      <c r="O15" s="6">
        <v>11</v>
      </c>
      <c r="P15" s="6">
        <v>11</v>
      </c>
      <c r="Q15" s="6">
        <v>11</v>
      </c>
      <c r="R15" s="18" t="s">
        <v>24</v>
      </c>
      <c r="S15" s="2">
        <v>11</v>
      </c>
      <c r="T15" s="8">
        <v>11</v>
      </c>
      <c r="U15" s="6">
        <v>11</v>
      </c>
      <c r="V15" s="6">
        <v>11</v>
      </c>
      <c r="W15" s="6">
        <v>11</v>
      </c>
      <c r="X15" s="6">
        <v>11</v>
      </c>
      <c r="Y15" s="6">
        <v>11</v>
      </c>
      <c r="Z15" s="2">
        <v>11</v>
      </c>
      <c r="AA15" s="2">
        <v>11</v>
      </c>
      <c r="AB15" s="5">
        <v>11</v>
      </c>
      <c r="AC15" s="5">
        <v>11</v>
      </c>
      <c r="AD15" s="5">
        <v>11</v>
      </c>
      <c r="AE15" s="5">
        <v>11</v>
      </c>
      <c r="AF15" s="7">
        <v>11</v>
      </c>
      <c r="AG15" s="2"/>
      <c r="AH15" s="2"/>
      <c r="AI15" s="23">
        <f t="shared" si="0"/>
        <v>297</v>
      </c>
      <c r="AJ15" s="22">
        <f t="shared" si="1"/>
        <v>27</v>
      </c>
    </row>
    <row r="16" spans="1:36" ht="20.25" hidden="1" x14ac:dyDescent="0.3">
      <c r="A16" s="16" t="s">
        <v>19</v>
      </c>
      <c r="B16" s="9" t="s">
        <v>7</v>
      </c>
      <c r="C16" s="4" t="s">
        <v>4</v>
      </c>
      <c r="D16" s="7">
        <v>11</v>
      </c>
      <c r="E16" s="2">
        <v>11</v>
      </c>
      <c r="F16" s="2">
        <v>11</v>
      </c>
      <c r="G16" s="7">
        <v>11</v>
      </c>
      <c r="H16" s="7">
        <v>11</v>
      </c>
      <c r="I16" s="7">
        <v>11</v>
      </c>
      <c r="J16" s="7">
        <v>11</v>
      </c>
      <c r="K16" s="7">
        <v>11</v>
      </c>
      <c r="L16" s="18" t="s">
        <v>24</v>
      </c>
      <c r="M16" s="2">
        <v>11</v>
      </c>
      <c r="N16" s="7">
        <v>11</v>
      </c>
      <c r="O16" s="6">
        <v>11</v>
      </c>
      <c r="P16" s="6">
        <v>11</v>
      </c>
      <c r="Q16" s="7">
        <v>11</v>
      </c>
      <c r="R16" s="7">
        <v>11</v>
      </c>
      <c r="S16" s="2">
        <v>11</v>
      </c>
      <c r="T16" s="8">
        <v>11</v>
      </c>
      <c r="U16" s="18" t="s">
        <v>24</v>
      </c>
      <c r="V16" s="6">
        <v>11</v>
      </c>
      <c r="W16" s="6">
        <v>11</v>
      </c>
      <c r="X16" s="6">
        <v>11</v>
      </c>
      <c r="Y16" s="7">
        <v>11</v>
      </c>
      <c r="Z16" s="2">
        <v>11</v>
      </c>
      <c r="AA16" s="2">
        <v>11</v>
      </c>
      <c r="AB16" s="5">
        <v>11</v>
      </c>
      <c r="AC16" s="5">
        <v>11</v>
      </c>
      <c r="AD16" s="5">
        <v>11</v>
      </c>
      <c r="AE16" s="5">
        <v>11</v>
      </c>
      <c r="AF16" s="5">
        <v>11</v>
      </c>
      <c r="AG16" s="2"/>
      <c r="AH16" s="2"/>
      <c r="AI16" s="23">
        <f t="shared" si="0"/>
        <v>297</v>
      </c>
      <c r="AJ16" s="22">
        <f t="shared" si="1"/>
        <v>27</v>
      </c>
    </row>
    <row r="17" spans="1:36" ht="20.25" hidden="1" x14ac:dyDescent="0.3">
      <c r="A17" s="16" t="s">
        <v>20</v>
      </c>
      <c r="B17" s="9" t="s">
        <v>7</v>
      </c>
      <c r="C17" s="4" t="s">
        <v>4</v>
      </c>
      <c r="D17" s="18" t="s">
        <v>24</v>
      </c>
      <c r="E17" s="2">
        <v>11</v>
      </c>
      <c r="F17" s="2">
        <v>11</v>
      </c>
      <c r="G17" s="7">
        <v>11</v>
      </c>
      <c r="H17" s="7">
        <v>11</v>
      </c>
      <c r="I17" s="7">
        <v>11</v>
      </c>
      <c r="J17" s="20" t="s">
        <v>29</v>
      </c>
      <c r="K17" s="7">
        <v>11</v>
      </c>
      <c r="L17" s="18" t="s">
        <v>24</v>
      </c>
      <c r="M17" s="20" t="s">
        <v>29</v>
      </c>
      <c r="N17" s="20" t="s">
        <v>29</v>
      </c>
      <c r="O17" s="20" t="s">
        <v>29</v>
      </c>
      <c r="P17" s="20" t="s">
        <v>29</v>
      </c>
      <c r="Q17" s="20" t="s">
        <v>29</v>
      </c>
      <c r="R17" s="49" t="s">
        <v>25</v>
      </c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1"/>
      <c r="AI17" s="23">
        <f t="shared" si="0"/>
        <v>66</v>
      </c>
      <c r="AJ17" s="22">
        <f t="shared" si="1"/>
        <v>6</v>
      </c>
    </row>
    <row r="18" spans="1:36" ht="20.25" hidden="1" x14ac:dyDescent="0.3">
      <c r="A18" s="16" t="s">
        <v>21</v>
      </c>
      <c r="B18" s="9" t="s">
        <v>7</v>
      </c>
      <c r="C18" s="4" t="s">
        <v>4</v>
      </c>
      <c r="D18" s="7">
        <v>11</v>
      </c>
      <c r="E18" s="2">
        <v>11</v>
      </c>
      <c r="F18" s="2">
        <v>11</v>
      </c>
      <c r="G18" s="7">
        <v>11</v>
      </c>
      <c r="H18" s="7">
        <v>11</v>
      </c>
      <c r="I18" s="7">
        <v>11</v>
      </c>
      <c r="J18" s="7">
        <v>11</v>
      </c>
      <c r="K18" s="7">
        <v>11</v>
      </c>
      <c r="L18" s="18" t="s">
        <v>24</v>
      </c>
      <c r="M18" s="2">
        <v>11</v>
      </c>
      <c r="N18" s="7">
        <v>11</v>
      </c>
      <c r="O18" s="6">
        <v>11</v>
      </c>
      <c r="P18" s="7">
        <v>11</v>
      </c>
      <c r="Q18" s="7">
        <v>11</v>
      </c>
      <c r="R18" s="7">
        <v>11</v>
      </c>
      <c r="S18" s="2">
        <v>11</v>
      </c>
      <c r="T18" s="8">
        <v>11</v>
      </c>
      <c r="U18" s="6">
        <v>11</v>
      </c>
      <c r="V18" s="6">
        <v>11</v>
      </c>
      <c r="W18" s="6">
        <v>11</v>
      </c>
      <c r="X18" s="18" t="s">
        <v>24</v>
      </c>
      <c r="Y18" s="7">
        <v>11</v>
      </c>
      <c r="Z18" s="2">
        <v>11</v>
      </c>
      <c r="AA18" s="2">
        <v>11</v>
      </c>
      <c r="AB18" s="5">
        <v>11</v>
      </c>
      <c r="AC18" s="5">
        <v>11</v>
      </c>
      <c r="AD18" s="5">
        <v>11</v>
      </c>
      <c r="AE18" s="5">
        <v>11</v>
      </c>
      <c r="AF18" s="5">
        <v>11</v>
      </c>
      <c r="AG18" s="2"/>
      <c r="AH18" s="2"/>
      <c r="AI18" s="23">
        <f t="shared" si="0"/>
        <v>297</v>
      </c>
      <c r="AJ18" s="22">
        <f t="shared" si="1"/>
        <v>27</v>
      </c>
    </row>
    <row r="19" spans="1:36" ht="20.25" hidden="1" x14ac:dyDescent="0.3">
      <c r="A19" s="17" t="s">
        <v>22</v>
      </c>
      <c r="B19" s="9" t="s">
        <v>7</v>
      </c>
      <c r="C19" s="4" t="s">
        <v>4</v>
      </c>
      <c r="D19" s="7">
        <v>11</v>
      </c>
      <c r="E19" s="2">
        <v>11</v>
      </c>
      <c r="F19" s="18" t="s">
        <v>24</v>
      </c>
      <c r="G19" s="20" t="s">
        <v>29</v>
      </c>
      <c r="H19" s="7">
        <v>11</v>
      </c>
      <c r="I19" s="7">
        <v>11</v>
      </c>
      <c r="J19" s="7">
        <v>11</v>
      </c>
      <c r="K19" s="7">
        <v>11</v>
      </c>
      <c r="L19" s="18" t="s">
        <v>24</v>
      </c>
      <c r="M19" s="20" t="s">
        <v>29</v>
      </c>
      <c r="N19" s="7">
        <v>11</v>
      </c>
      <c r="O19" s="6">
        <v>11</v>
      </c>
      <c r="P19" s="7">
        <v>11</v>
      </c>
      <c r="Q19" s="20" t="s">
        <v>29</v>
      </c>
      <c r="R19" s="7">
        <v>11</v>
      </c>
      <c r="S19" s="2">
        <v>11</v>
      </c>
      <c r="T19" s="8">
        <v>11</v>
      </c>
      <c r="U19" s="6">
        <v>11</v>
      </c>
      <c r="V19" s="6">
        <v>11</v>
      </c>
      <c r="W19" s="6">
        <v>11</v>
      </c>
      <c r="X19" s="20" t="s">
        <v>29</v>
      </c>
      <c r="Y19" s="7">
        <v>11</v>
      </c>
      <c r="Z19" s="2">
        <v>11</v>
      </c>
      <c r="AA19" s="2">
        <v>11</v>
      </c>
      <c r="AB19" s="5">
        <v>11</v>
      </c>
      <c r="AC19" s="5">
        <v>11</v>
      </c>
      <c r="AD19" s="5">
        <v>11</v>
      </c>
      <c r="AE19" s="5">
        <v>11</v>
      </c>
      <c r="AF19" s="10">
        <v>11</v>
      </c>
      <c r="AG19" s="2"/>
      <c r="AH19" s="2"/>
      <c r="AI19" s="23">
        <f t="shared" si="0"/>
        <v>253</v>
      </c>
      <c r="AJ19" s="22">
        <f>COUNTIF(D19:AH19,11)</f>
        <v>23</v>
      </c>
    </row>
    <row r="20" spans="1:36" s="25" customFormat="1" ht="20.25" hidden="1" x14ac:dyDescent="0.25">
      <c r="A20" s="27" t="s">
        <v>30</v>
      </c>
      <c r="B20" s="28" t="s">
        <v>7</v>
      </c>
      <c r="C20" s="11" t="s">
        <v>4</v>
      </c>
      <c r="D20" s="46" t="s">
        <v>32</v>
      </c>
      <c r="E20" s="47"/>
      <c r="F20" s="47"/>
      <c r="G20" s="47"/>
      <c r="H20" s="48"/>
      <c r="I20" s="46" t="s">
        <v>25</v>
      </c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26" t="s">
        <v>31</v>
      </c>
      <c r="AB20" s="10">
        <v>11</v>
      </c>
      <c r="AC20" s="10">
        <v>11</v>
      </c>
      <c r="AD20" s="10">
        <v>11</v>
      </c>
      <c r="AE20" s="10">
        <v>11</v>
      </c>
      <c r="AF20" s="10">
        <v>11</v>
      </c>
      <c r="AG20" s="2"/>
      <c r="AH20" s="2"/>
      <c r="AI20" s="29">
        <f>SUM(D20:AG20)</f>
        <v>55</v>
      </c>
      <c r="AJ20" s="29">
        <f>COUNTIF(D20:AH20, 11)</f>
        <v>5</v>
      </c>
    </row>
    <row r="21" spans="1:36" ht="20.25" hidden="1" x14ac:dyDescent="0.3">
      <c r="A21" s="27" t="s">
        <v>33</v>
      </c>
      <c r="B21" s="28" t="s">
        <v>7</v>
      </c>
      <c r="C21" s="11" t="s">
        <v>4</v>
      </c>
      <c r="D21" s="7">
        <v>11</v>
      </c>
      <c r="E21" s="31">
        <v>11</v>
      </c>
      <c r="F21" s="31">
        <v>11</v>
      </c>
      <c r="G21" s="7">
        <v>11</v>
      </c>
      <c r="H21" s="7">
        <v>11</v>
      </c>
      <c r="I21" s="7">
        <v>11</v>
      </c>
      <c r="J21" s="7">
        <v>11</v>
      </c>
      <c r="K21" s="7">
        <v>11</v>
      </c>
      <c r="L21" s="18" t="s">
        <v>24</v>
      </c>
      <c r="M21" s="31">
        <v>11</v>
      </c>
      <c r="N21" s="7">
        <v>11</v>
      </c>
      <c r="O21" s="7">
        <v>11</v>
      </c>
      <c r="P21" s="7">
        <v>11</v>
      </c>
      <c r="Q21" s="7">
        <v>11</v>
      </c>
      <c r="R21" s="7">
        <v>11</v>
      </c>
      <c r="S21" s="31">
        <v>11</v>
      </c>
      <c r="T21" s="31">
        <v>11</v>
      </c>
      <c r="U21" s="7">
        <v>11</v>
      </c>
      <c r="V21" s="7">
        <v>11</v>
      </c>
      <c r="W21" s="7">
        <v>11</v>
      </c>
      <c r="X21" s="7">
        <v>11</v>
      </c>
      <c r="Y21" s="7">
        <v>11</v>
      </c>
      <c r="Z21" s="31">
        <v>11</v>
      </c>
      <c r="AA21" s="18" t="s">
        <v>24</v>
      </c>
      <c r="AB21" s="7">
        <v>11</v>
      </c>
      <c r="AC21" s="7">
        <v>11</v>
      </c>
      <c r="AD21" s="7">
        <v>11</v>
      </c>
      <c r="AE21" s="7">
        <v>11</v>
      </c>
      <c r="AF21" s="7">
        <v>11</v>
      </c>
      <c r="AG21" s="2"/>
      <c r="AH21" s="2"/>
      <c r="AI21" s="29">
        <f t="shared" ref="AI21:AI24" si="2">SUM(D21:AG21)</f>
        <v>297</v>
      </c>
      <c r="AJ21" s="29">
        <f t="shared" ref="AJ21:AJ24" si="3">COUNTIF(D21:AH21, 11)</f>
        <v>27</v>
      </c>
    </row>
    <row r="22" spans="1:36" ht="20.25" hidden="1" x14ac:dyDescent="0.3">
      <c r="A22" s="27" t="s">
        <v>34</v>
      </c>
      <c r="B22" s="28" t="s">
        <v>7</v>
      </c>
      <c r="C22" s="11" t="s">
        <v>4</v>
      </c>
      <c r="D22" s="7">
        <v>11</v>
      </c>
      <c r="E22" s="31">
        <v>11</v>
      </c>
      <c r="F22" s="31">
        <v>11</v>
      </c>
      <c r="G22" s="7">
        <v>11</v>
      </c>
      <c r="H22" s="7">
        <v>11</v>
      </c>
      <c r="I22" s="7">
        <v>11</v>
      </c>
      <c r="J22" s="7">
        <v>11</v>
      </c>
      <c r="K22" s="7">
        <v>11</v>
      </c>
      <c r="L22" s="18" t="s">
        <v>24</v>
      </c>
      <c r="M22" s="31">
        <v>11</v>
      </c>
      <c r="N22" s="7">
        <v>11</v>
      </c>
      <c r="O22" s="7">
        <v>11</v>
      </c>
      <c r="P22" s="7">
        <v>11</v>
      </c>
      <c r="Q22" s="7">
        <v>11</v>
      </c>
      <c r="R22" s="7">
        <v>11</v>
      </c>
      <c r="S22" s="31">
        <v>11</v>
      </c>
      <c r="T22" s="31">
        <v>11</v>
      </c>
      <c r="U22" s="7">
        <v>11</v>
      </c>
      <c r="V22" s="7">
        <v>11</v>
      </c>
      <c r="W22" s="7">
        <v>11</v>
      </c>
      <c r="X22" s="7">
        <v>11</v>
      </c>
      <c r="Y22" s="7">
        <v>11</v>
      </c>
      <c r="Z22" s="31">
        <v>11</v>
      </c>
      <c r="AA22" s="18" t="s">
        <v>24</v>
      </c>
      <c r="AB22" s="7">
        <v>11</v>
      </c>
      <c r="AC22" s="7">
        <v>11</v>
      </c>
      <c r="AD22" s="7">
        <v>11</v>
      </c>
      <c r="AE22" s="7">
        <v>11</v>
      </c>
      <c r="AF22" s="7">
        <v>11</v>
      </c>
      <c r="AG22" s="2"/>
      <c r="AH22" s="2"/>
      <c r="AI22" s="29">
        <f t="shared" si="2"/>
        <v>297</v>
      </c>
      <c r="AJ22" s="29">
        <f t="shared" si="3"/>
        <v>27</v>
      </c>
    </row>
    <row r="23" spans="1:36" ht="20.25" hidden="1" x14ac:dyDescent="0.3">
      <c r="A23" s="27" t="s">
        <v>35</v>
      </c>
      <c r="B23" s="28" t="s">
        <v>7</v>
      </c>
      <c r="C23" s="11" t="s">
        <v>4</v>
      </c>
      <c r="D23" s="43" t="s">
        <v>25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5"/>
      <c r="Q23" s="26" t="s">
        <v>31</v>
      </c>
      <c r="R23" s="7">
        <v>11</v>
      </c>
      <c r="S23" s="31">
        <v>11</v>
      </c>
      <c r="T23" s="31">
        <v>11</v>
      </c>
      <c r="U23" s="7">
        <v>11</v>
      </c>
      <c r="V23" s="7">
        <v>11</v>
      </c>
      <c r="W23" s="7">
        <v>11</v>
      </c>
      <c r="X23" s="7">
        <v>11</v>
      </c>
      <c r="Y23" s="7">
        <v>11</v>
      </c>
      <c r="Z23" s="31">
        <v>11</v>
      </c>
      <c r="AA23" s="31">
        <v>11</v>
      </c>
      <c r="AB23" s="7">
        <v>11</v>
      </c>
      <c r="AC23" s="7">
        <v>11</v>
      </c>
      <c r="AD23" s="7">
        <v>11</v>
      </c>
      <c r="AE23" s="7">
        <v>11</v>
      </c>
      <c r="AF23" s="7">
        <v>11</v>
      </c>
      <c r="AG23" s="2"/>
      <c r="AH23" s="2"/>
      <c r="AI23" s="29">
        <f t="shared" si="2"/>
        <v>165</v>
      </c>
      <c r="AJ23" s="29">
        <f t="shared" si="3"/>
        <v>15</v>
      </c>
    </row>
    <row r="24" spans="1:36" ht="20.25" hidden="1" x14ac:dyDescent="0.3">
      <c r="A24" s="27" t="s">
        <v>36</v>
      </c>
      <c r="B24" s="28" t="s">
        <v>7</v>
      </c>
      <c r="C24" s="11" t="s">
        <v>4</v>
      </c>
      <c r="D24" s="43" t="s">
        <v>25</v>
      </c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5"/>
      <c r="Q24" s="26" t="s">
        <v>31</v>
      </c>
      <c r="R24" s="7">
        <v>11</v>
      </c>
      <c r="S24" s="31">
        <v>11</v>
      </c>
      <c r="T24" s="31">
        <v>11</v>
      </c>
      <c r="U24" s="7">
        <v>11</v>
      </c>
      <c r="V24" s="7">
        <v>11</v>
      </c>
      <c r="W24" s="7">
        <v>11</v>
      </c>
      <c r="X24" s="7">
        <v>11</v>
      </c>
      <c r="Y24" s="7">
        <v>11</v>
      </c>
      <c r="Z24" s="31">
        <v>11</v>
      </c>
      <c r="AA24" s="31">
        <v>11</v>
      </c>
      <c r="AB24" s="7">
        <v>11</v>
      </c>
      <c r="AC24" s="7">
        <v>11</v>
      </c>
      <c r="AD24" s="7">
        <v>11</v>
      </c>
      <c r="AE24" s="7">
        <v>11</v>
      </c>
      <c r="AF24" s="7">
        <v>11</v>
      </c>
      <c r="AG24" s="2"/>
      <c r="AH24" s="2"/>
      <c r="AI24" s="29">
        <f t="shared" si="2"/>
        <v>165</v>
      </c>
      <c r="AJ24" s="29">
        <f t="shared" si="3"/>
        <v>15</v>
      </c>
    </row>
    <row r="25" spans="1:36" ht="20.25" hidden="1" x14ac:dyDescent="0.25">
      <c r="AH25" s="30" t="s">
        <v>27</v>
      </c>
      <c r="AI25" s="24">
        <f>SUM(AI8:AI24)</f>
        <v>4015</v>
      </c>
      <c r="AJ25" s="24">
        <f>SUM(AJ8:AJ24)</f>
        <v>365</v>
      </c>
    </row>
  </sheetData>
  <autoFilter ref="A3:AJ25" xr:uid="{00000000-0001-0000-0000-000000000000}">
    <filterColumn colId="1">
      <filters>
        <filter val="сварщик"/>
      </filters>
    </filterColumn>
  </autoFilter>
  <mergeCells count="11">
    <mergeCell ref="D23:P23"/>
    <mergeCell ref="D24:P24"/>
    <mergeCell ref="I20:Z20"/>
    <mergeCell ref="D20:H20"/>
    <mergeCell ref="R17:AH17"/>
    <mergeCell ref="I14:AH14"/>
    <mergeCell ref="A1:A3"/>
    <mergeCell ref="B1:B3"/>
    <mergeCell ref="C1:C3"/>
    <mergeCell ref="E6:AH6"/>
    <mergeCell ref="D1:AJ2"/>
  </mergeCells>
  <conditionalFormatting sqref="A1:A4">
    <cfRule type="duplicateValues" dxfId="11" priority="46"/>
  </conditionalFormatting>
  <conditionalFormatting sqref="A5">
    <cfRule type="duplicateValues" dxfId="10" priority="35"/>
    <cfRule type="duplicateValues" dxfId="9" priority="37"/>
    <cfRule type="duplicateValues" dxfId="8" priority="38"/>
    <cfRule type="duplicateValues" dxfId="7" priority="39"/>
  </conditionalFormatting>
  <conditionalFormatting sqref="A6">
    <cfRule type="duplicateValues" dxfId="6" priority="32"/>
  </conditionalFormatting>
  <conditionalFormatting sqref="A7:A9">
    <cfRule type="duplicateValues" dxfId="5" priority="41"/>
    <cfRule type="duplicateValues" dxfId="4" priority="42"/>
  </conditionalFormatting>
  <conditionalFormatting sqref="A10:A14">
    <cfRule type="duplicateValues" dxfId="3" priority="53"/>
  </conditionalFormatting>
  <conditionalFormatting sqref="A15:A18">
    <cfRule type="duplicateValues" dxfId="2" priority="58"/>
  </conditionalFormatting>
  <conditionalFormatting sqref="B5:C24">
    <cfRule type="cellIs" dxfId="1" priority="1" operator="equal">
      <formula>55</formula>
    </cfRule>
  </conditionalFormatting>
  <conditionalFormatting sqref="C4">
    <cfRule type="cellIs" dxfId="0" priority="40" operator="equal">
      <formula>55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2026-05-30T05:51:37Z</dcterms:modified>
</cp:coreProperties>
</file>