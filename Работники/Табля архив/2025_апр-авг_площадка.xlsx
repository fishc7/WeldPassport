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17"/>
  <workbookPr/>
  <mc:AlternateContent xmlns:mc="http://schemas.openxmlformats.org/markup-compatibility/2006">
    <mc:Choice Requires="x15">
      <x15ac:absPath xmlns:x15ac="http://schemas.microsoft.com/office/spreadsheetml/2010/11/ac" url="D:\МК_Кран\МК_Кран_Кингесеп\ОК\Табеля с площадки\"/>
    </mc:Choice>
  </mc:AlternateContent>
  <xr:revisionPtr revIDLastSave="0" documentId="13_ncr:1_{BDEB627B-7FB3-4D34-9A3A-58501E237921}" xr6:coauthVersionLast="47" xr6:coauthVersionMax="47" xr10:uidLastSave="{00000000-0000-0000-0000-000000000000}"/>
  <bookViews>
    <workbookView xWindow="28680" yWindow="-3825" windowWidth="38640" windowHeight="21390" activeTab="4" xr2:uid="{00000000-000D-0000-FFFF-FFFF00000000}"/>
  </bookViews>
  <sheets>
    <sheet name="апрель" sheetId="3" r:id="rId1"/>
    <sheet name="май" sheetId="4" r:id="rId2"/>
    <sheet name="июнь" sheetId="6" r:id="rId3"/>
    <sheet name="ИЮЛЬ" sheetId="8" r:id="rId4"/>
    <sheet name="АВГУСТ" sheetId="7" r:id="rId5"/>
  </sheets>
  <definedNames>
    <definedName name="_xlnm._FilterDatabase" localSheetId="4" hidden="1">АВГУСТ!$A$4:$AJ$26</definedName>
    <definedName name="_xlnm._FilterDatabase" localSheetId="0" hidden="1">апрель!$A$4:$AI$27</definedName>
    <definedName name="_xlnm._FilterDatabase" localSheetId="3" hidden="1">ИЮЛЬ!$A$4:$AJ$27</definedName>
    <definedName name="_xlnm._FilterDatabase" localSheetId="2" hidden="1">июнь!$A$4:$AI$27</definedName>
    <definedName name="_xlnm._FilterDatabase" localSheetId="1" hidden="1">май!$A$4:$AJ$27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6" i="7" l="1"/>
  <c r="AI26" i="7"/>
  <c r="AJ25" i="7"/>
  <c r="AI25" i="7"/>
  <c r="AJ24" i="7"/>
  <c r="AI24" i="7"/>
  <c r="AJ23" i="7"/>
  <c r="AI23" i="7"/>
  <c r="AJ22" i="7"/>
  <c r="AI22" i="7"/>
  <c r="AJ21" i="7"/>
  <c r="AI21" i="7"/>
  <c r="AJ20" i="7"/>
  <c r="AI20" i="7"/>
  <c r="AJ19" i="7"/>
  <c r="AI19" i="7"/>
  <c r="AJ18" i="7"/>
  <c r="AI18" i="7"/>
  <c r="AJ17" i="7"/>
  <c r="AI17" i="7"/>
  <c r="AJ16" i="7"/>
  <c r="AI16" i="7"/>
  <c r="AJ15" i="7"/>
  <c r="AI15" i="7"/>
  <c r="AJ14" i="7"/>
  <c r="AI14" i="7"/>
  <c r="AJ13" i="7"/>
  <c r="AI13" i="7"/>
  <c r="AJ12" i="7"/>
  <c r="AI12" i="7"/>
  <c r="AJ11" i="7"/>
  <c r="AI11" i="7"/>
  <c r="AJ10" i="7"/>
  <c r="AI10" i="7"/>
  <c r="AJ9" i="7"/>
  <c r="AI9" i="7"/>
  <c r="AJ8" i="7"/>
  <c r="AI8" i="7"/>
  <c r="AJ7" i="7"/>
  <c r="AI7" i="7"/>
  <c r="AJ6" i="7"/>
  <c r="AI6" i="7"/>
  <c r="AJ5" i="7"/>
  <c r="AI5" i="7"/>
  <c r="AJ27" i="8"/>
  <c r="AI27" i="8"/>
  <c r="AJ26" i="8"/>
  <c r="AI26" i="8"/>
  <c r="AJ25" i="8"/>
  <c r="AI25" i="8"/>
  <c r="AJ24" i="8"/>
  <c r="AI24" i="8"/>
  <c r="AJ23" i="8"/>
  <c r="AI23" i="8"/>
  <c r="AJ22" i="8"/>
  <c r="AI22" i="8"/>
  <c r="AJ21" i="8"/>
  <c r="AI21" i="8"/>
  <c r="AJ20" i="8"/>
  <c r="AI20" i="8"/>
  <c r="AJ19" i="8"/>
  <c r="AI19" i="8"/>
  <c r="AJ18" i="8"/>
  <c r="AI18" i="8"/>
  <c r="AJ17" i="8"/>
  <c r="AI17" i="8"/>
  <c r="AJ16" i="8"/>
  <c r="AI16" i="8"/>
  <c r="AJ15" i="8"/>
  <c r="AI15" i="8"/>
  <c r="AJ14" i="8"/>
  <c r="AI14" i="8"/>
  <c r="AJ13" i="8"/>
  <c r="AI13" i="8"/>
  <c r="AJ12" i="8"/>
  <c r="AI12" i="8"/>
  <c r="AJ11" i="8"/>
  <c r="AI11" i="8"/>
  <c r="AJ10" i="8"/>
  <c r="AI10" i="8"/>
  <c r="AJ9" i="8"/>
  <c r="AI9" i="8"/>
  <c r="AJ8" i="8"/>
  <c r="AI8" i="8"/>
  <c r="AJ7" i="8"/>
  <c r="AI7" i="8"/>
  <c r="AJ6" i="8"/>
  <c r="AI6" i="8"/>
  <c r="AJ5" i="8"/>
  <c r="AI5" i="8"/>
  <c r="AI27" i="6"/>
  <c r="AH27" i="6"/>
  <c r="AI26" i="6"/>
  <c r="AH26" i="6"/>
  <c r="AI25" i="6"/>
  <c r="AH25" i="6"/>
  <c r="AI24" i="6"/>
  <c r="AH24" i="6"/>
  <c r="AI23" i="6"/>
  <c r="AH23" i="6"/>
  <c r="AI22" i="6"/>
  <c r="AH22" i="6"/>
  <c r="AI21" i="6"/>
  <c r="AH21" i="6"/>
  <c r="AI20" i="6"/>
  <c r="AH20" i="6"/>
  <c r="AI19" i="6"/>
  <c r="AH19" i="6"/>
  <c r="AI18" i="6"/>
  <c r="AH18" i="6"/>
  <c r="AI17" i="6"/>
  <c r="AH17" i="6"/>
  <c r="AI16" i="6"/>
  <c r="AH16" i="6"/>
  <c r="AI15" i="6"/>
  <c r="AH15" i="6"/>
  <c r="AI14" i="6"/>
  <c r="AH14" i="6"/>
  <c r="AI13" i="6"/>
  <c r="AH13" i="6"/>
  <c r="AI12" i="6"/>
  <c r="AH12" i="6"/>
  <c r="AI11" i="6"/>
  <c r="AH11" i="6"/>
  <c r="AI10" i="6"/>
  <c r="AH10" i="6"/>
  <c r="AI9" i="6"/>
  <c r="AH9" i="6"/>
  <c r="AI8" i="6"/>
  <c r="AH8" i="6"/>
  <c r="AI7" i="6"/>
  <c r="AH7" i="6"/>
  <c r="AI6" i="6"/>
  <c r="AH6" i="6"/>
  <c r="AI5" i="6"/>
  <c r="AH5" i="6"/>
  <c r="AJ27" i="4"/>
  <c r="AI27" i="4"/>
  <c r="AJ26" i="4"/>
  <c r="AI26" i="4"/>
  <c r="AJ25" i="4"/>
  <c r="AI25" i="4"/>
  <c r="AJ24" i="4"/>
  <c r="AI24" i="4"/>
  <c r="AJ23" i="4"/>
  <c r="AI23" i="4"/>
  <c r="AJ22" i="4"/>
  <c r="AI22" i="4"/>
  <c r="AJ21" i="4"/>
  <c r="AI21" i="4"/>
  <c r="AJ20" i="4"/>
  <c r="AI20" i="4"/>
  <c r="AJ19" i="4"/>
  <c r="AI19" i="4"/>
  <c r="AJ18" i="4"/>
  <c r="AI18" i="4"/>
  <c r="AJ17" i="4"/>
  <c r="AI17" i="4"/>
  <c r="AJ16" i="4"/>
  <c r="AI16" i="4"/>
  <c r="AJ15" i="4"/>
  <c r="AI15" i="4"/>
  <c r="AJ14" i="4"/>
  <c r="AI14" i="4"/>
  <c r="AJ13" i="4"/>
  <c r="AI13" i="4"/>
  <c r="AJ12" i="4"/>
  <c r="AI12" i="4"/>
  <c r="AJ11" i="4"/>
  <c r="AI11" i="4"/>
  <c r="AJ10" i="4"/>
  <c r="AI10" i="4"/>
  <c r="AJ9" i="4"/>
  <c r="AI9" i="4"/>
  <c r="AJ8" i="4"/>
  <c r="AI8" i="4"/>
  <c r="AJ7" i="4"/>
  <c r="AI7" i="4"/>
  <c r="AJ6" i="4"/>
  <c r="AI6" i="4"/>
  <c r="AJ5" i="4"/>
  <c r="AI5" i="4"/>
  <c r="AI27" i="3"/>
  <c r="AH27" i="3"/>
  <c r="AI26" i="3"/>
  <c r="AH26" i="3"/>
  <c r="AI25" i="3"/>
  <c r="AH25" i="3"/>
  <c r="AI24" i="3"/>
  <c r="AH24" i="3"/>
  <c r="AI23" i="3"/>
  <c r="AH23" i="3"/>
  <c r="AI22" i="3"/>
  <c r="AH22" i="3"/>
  <c r="AI21" i="3"/>
  <c r="AH21" i="3"/>
  <c r="AI20" i="3"/>
  <c r="AH20" i="3"/>
  <c r="AI19" i="3"/>
  <c r="AH19" i="3"/>
  <c r="AI18" i="3"/>
  <c r="AH18" i="3"/>
  <c r="AI17" i="3"/>
  <c r="AH17" i="3"/>
  <c r="AI16" i="3"/>
  <c r="AH16" i="3"/>
  <c r="AI15" i="3"/>
  <c r="AH15" i="3"/>
  <c r="AI14" i="3"/>
  <c r="AH14" i="3"/>
  <c r="AI13" i="3"/>
  <c r="AH13" i="3"/>
  <c r="AI12" i="3"/>
  <c r="AH12" i="3"/>
  <c r="AI11" i="3"/>
  <c r="AH11" i="3"/>
  <c r="AI10" i="3"/>
  <c r="AH10" i="3"/>
  <c r="AI9" i="3"/>
  <c r="AH9" i="3"/>
  <c r="AI8" i="3"/>
  <c r="AH8" i="3"/>
  <c r="AI7" i="3"/>
  <c r="AH7" i="3"/>
  <c r="AI6" i="3"/>
  <c r="AH6" i="3"/>
  <c r="AI5" i="3"/>
  <c r="AH5" i="3"/>
</calcChain>
</file>

<file path=xl/sharedStrings.xml><?xml version="1.0" encoding="utf-8"?>
<sst xmlns="http://schemas.openxmlformats.org/spreadsheetml/2006/main" count="2181" uniqueCount="42">
  <si>
    <t>№№ п/п</t>
  </si>
  <si>
    <t>ФИО</t>
  </si>
  <si>
    <t>Должность</t>
  </si>
  <si>
    <t>Табель учета апрель 2025.</t>
  </si>
  <si>
    <t>Итого часов:</t>
  </si>
  <si>
    <t>Итого Дней</t>
  </si>
  <si>
    <t>в</t>
  </si>
  <si>
    <t>А</t>
  </si>
  <si>
    <t>УВ</t>
  </si>
  <si>
    <t>мв</t>
  </si>
  <si>
    <t>В</t>
  </si>
  <si>
    <t xml:space="preserve">Абдиалимов Максат </t>
  </si>
  <si>
    <t>эл/сварщик</t>
  </si>
  <si>
    <t xml:space="preserve">Абдурасулов Адилжан     </t>
  </si>
  <si>
    <t>Д</t>
  </si>
  <si>
    <t xml:space="preserve">Алашеев Сергей Сергеевич </t>
  </si>
  <si>
    <t xml:space="preserve">Бегайдаров Бердимурод Абдиалимович </t>
  </si>
  <si>
    <t xml:space="preserve">Брунер Игорь Владимирович     </t>
  </si>
  <si>
    <t xml:space="preserve">Дурбайло Александр Александрович </t>
  </si>
  <si>
    <t xml:space="preserve">Жуков Виктор Николаевич       </t>
  </si>
  <si>
    <t xml:space="preserve">Коба Иван Петрович    </t>
  </si>
  <si>
    <t xml:space="preserve">Колиниченко Роман Владимирович </t>
  </si>
  <si>
    <t xml:space="preserve">Коломиец Максим Валерьевич   </t>
  </si>
  <si>
    <t xml:space="preserve">Кочетов Евгений Николаевич         </t>
  </si>
  <si>
    <t xml:space="preserve">Краморов Сергей Васильевич </t>
  </si>
  <si>
    <t xml:space="preserve">Курлин Андрей Михайлович </t>
  </si>
  <si>
    <t xml:space="preserve">Максутов Дмитрий Исраилович </t>
  </si>
  <si>
    <t xml:space="preserve">Маматкурбанов Умиджан      </t>
  </si>
  <si>
    <t xml:space="preserve">Нураханов Самат       </t>
  </si>
  <si>
    <t xml:space="preserve">Орлов Михаил Петрович </t>
  </si>
  <si>
    <t xml:space="preserve">Поднебеснов Александр Александрович        </t>
  </si>
  <si>
    <t xml:space="preserve">Соснин Вадим Олегович    </t>
  </si>
  <si>
    <t xml:space="preserve">Субалов Рустам Арстанбекович </t>
  </si>
  <si>
    <t xml:space="preserve">Суинов Замир Куншигарович </t>
  </si>
  <si>
    <t>Умурзаков Айдос</t>
  </si>
  <si>
    <t>Усманов Кайрат</t>
  </si>
  <si>
    <t>Табель учета май 2025.</t>
  </si>
  <si>
    <t>Табель учета июнь 2025.</t>
  </si>
  <si>
    <t>Табель учета июль 2025.</t>
  </si>
  <si>
    <t>B</t>
  </si>
  <si>
    <t>ТИТУЛ 70</t>
  </si>
  <si>
    <t>Табель учета АВГУСТ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</si>
</sst>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m\.yy"/>
  </numFmts>
  <fonts count="8">
    <font>
      <sz val="11"/>
      <color theme="1"/>
      <name val="Calibri"/>
      <charset val="134"/>
      <scheme val="minor"/>
    </font>
    <font>
      <sz val="16"/>
      <color theme="1"/>
      <name val="Times New Roman"/>
      <charset val="204"/>
    </font>
    <font>
      <b/>
      <sz val="16"/>
      <color theme="1"/>
      <name val="Times New Roman"/>
      <charset val="204"/>
    </font>
    <font>
      <b/>
      <sz val="16"/>
      <name val="Times New Roman"/>
      <charset val="204"/>
    </font>
    <font>
      <b/>
      <sz val="18"/>
      <name val="Times New Roman"/>
      <charset val="204"/>
    </font>
    <font>
      <sz val="16"/>
      <name val="Times New Roman"/>
      <charset val="204"/>
    </font>
    <font>
      <sz val="16"/>
      <color theme="1"/>
      <name val="Cambria"/>
      <charset val="204"/>
      <scheme val="major"/>
    </font>
    <font>
      <sz val="11"/>
      <color theme="1"/>
      <name val="Calibri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96">
    <xf numFmtId="0" fontId="0" fillId="0" borderId="0" xfId="0"/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1" fillId="0" borderId="1" xfId="0" applyFont="1" applyBorder="1"/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/>
    </xf>
    <xf numFmtId="0" fontId="1" fillId="0" borderId="0" xfId="0" applyFont="1"/>
    <xf numFmtId="1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0" fillId="0" borderId="0" xfId="1" applyFont="1" applyFill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4" borderId="6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1" fontId="1" fillId="6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5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5" fillId="0" borderId="1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5" fontId="3" fillId="0" borderId="12" xfId="0" applyNumberFormat="1" applyFont="1" applyBorder="1" applyAlignment="1">
      <alignment horizontal="center" vertical="center" wrapText="1"/>
    </xf>
    <xf numFmtId="165" fontId="3" fillId="0" borderId="13" xfId="0" applyNumberFormat="1" applyFont="1" applyBorder="1" applyAlignment="1">
      <alignment horizontal="center" vertical="center" wrapText="1"/>
    </xf>
    <xf numFmtId="165" fontId="3" fillId="0" borderId="14" xfId="0" applyNumberFormat="1" applyFont="1" applyBorder="1" applyAlignment="1">
      <alignment horizontal="center" vertical="center" wrapText="1"/>
    </xf>
    <xf numFmtId="165" fontId="3" fillId="0" borderId="4" xfId="0" applyNumberFormat="1" applyFont="1" applyBorder="1" applyAlignment="1">
      <alignment horizontal="center" vertical="center" wrapText="1"/>
    </xf>
    <xf numFmtId="165" fontId="3" fillId="0" borderId="5" xfId="0" applyNumberFormat="1" applyFont="1" applyBorder="1" applyAlignment="1">
      <alignment horizontal="center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3" xfId="0" applyNumberFormat="1" applyFont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165" fontId="4" fillId="0" borderId="4" xfId="0" applyNumberFormat="1" applyFont="1" applyBorder="1" applyAlignment="1">
      <alignment horizontal="center" vertical="center" wrapText="1"/>
    </xf>
    <xf numFmtId="165" fontId="4" fillId="0" borderId="5" xfId="0" applyNumberFormat="1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Процентный" xfId="1" builtinId="5"/>
  </cellStyles>
  <dxfs count="2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"/>
  <sheetViews>
    <sheetView zoomScale="55" zoomScaleNormal="55" workbookViewId="0">
      <selection activeCell="C1" sqref="C1:AH1048576"/>
    </sheetView>
  </sheetViews>
  <sheetFormatPr defaultColWidth="8.85546875" defaultRowHeight="20.25"/>
  <cols>
    <col min="1" max="1" width="8.85546875" style="14"/>
    <col min="2" max="2" width="66.28515625" style="14" customWidth="1"/>
    <col min="3" max="3" width="26.140625" style="14" customWidth="1"/>
    <col min="4" max="33" width="4.7109375" style="58" customWidth="1"/>
    <col min="34" max="35" width="8.85546875" style="14" customWidth="1"/>
    <col min="36" max="16384" width="8.85546875" style="14"/>
  </cols>
  <sheetData>
    <row r="1" spans="1:35" ht="14.45" customHeight="1">
      <c r="A1" s="75" t="s">
        <v>0</v>
      </c>
      <c r="B1" s="76" t="s">
        <v>1</v>
      </c>
      <c r="C1" s="77" t="s">
        <v>2</v>
      </c>
      <c r="D1" s="73" t="s">
        <v>3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1" t="s">
        <v>4</v>
      </c>
      <c r="AI1" s="71" t="s">
        <v>5</v>
      </c>
    </row>
    <row r="2" spans="1:35" ht="14.45" customHeight="1">
      <c r="A2" s="75"/>
      <c r="B2" s="76"/>
      <c r="C2" s="77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2"/>
      <c r="AI2" s="72"/>
    </row>
    <row r="3" spans="1:35">
      <c r="A3" s="75"/>
      <c r="B3" s="76"/>
      <c r="C3" s="77"/>
      <c r="D3" s="19">
        <v>1</v>
      </c>
      <c r="E3" s="19">
        <v>2</v>
      </c>
      <c r="F3" s="19">
        <v>3</v>
      </c>
      <c r="G3" s="19">
        <v>4</v>
      </c>
      <c r="H3" s="67">
        <v>5</v>
      </c>
      <c r="I3" s="67">
        <v>6</v>
      </c>
      <c r="J3" s="19">
        <v>7</v>
      </c>
      <c r="K3" s="19">
        <v>8</v>
      </c>
      <c r="L3" s="19">
        <v>9</v>
      </c>
      <c r="M3" s="19">
        <v>10</v>
      </c>
      <c r="N3" s="19">
        <v>11</v>
      </c>
      <c r="O3" s="67">
        <v>12</v>
      </c>
      <c r="P3" s="65">
        <v>13</v>
      </c>
      <c r="Q3" s="19">
        <v>14</v>
      </c>
      <c r="R3" s="19">
        <v>15</v>
      </c>
      <c r="S3" s="19">
        <v>16</v>
      </c>
      <c r="T3" s="19">
        <v>17</v>
      </c>
      <c r="U3" s="19">
        <v>18</v>
      </c>
      <c r="V3" s="67">
        <v>19</v>
      </c>
      <c r="W3" s="67">
        <v>20</v>
      </c>
      <c r="X3" s="19">
        <v>21</v>
      </c>
      <c r="Y3" s="19">
        <v>22</v>
      </c>
      <c r="Z3" s="19">
        <v>23</v>
      </c>
      <c r="AA3" s="19">
        <v>24</v>
      </c>
      <c r="AB3" s="19">
        <v>25</v>
      </c>
      <c r="AC3" s="67">
        <v>26</v>
      </c>
      <c r="AD3" s="67">
        <v>27</v>
      </c>
      <c r="AE3" s="19">
        <v>28</v>
      </c>
      <c r="AF3" s="19">
        <v>29</v>
      </c>
      <c r="AG3" s="19">
        <v>30</v>
      </c>
      <c r="AH3" s="72"/>
      <c r="AI3" s="72"/>
    </row>
    <row r="4" spans="1:35">
      <c r="A4" s="5"/>
      <c r="B4" s="2"/>
      <c r="C4" s="3"/>
      <c r="D4" s="19"/>
      <c r="E4" s="19"/>
      <c r="F4" s="19"/>
      <c r="G4" s="19"/>
      <c r="H4" s="67"/>
      <c r="I4" s="67"/>
      <c r="J4" s="19"/>
      <c r="K4" s="19"/>
      <c r="L4" s="19"/>
      <c r="M4" s="19"/>
      <c r="N4" s="19"/>
      <c r="O4" s="67"/>
      <c r="P4" s="65"/>
      <c r="Q4" s="19"/>
      <c r="R4" s="19"/>
      <c r="S4" s="19"/>
      <c r="T4" s="19"/>
      <c r="U4" s="19"/>
      <c r="V4" s="67"/>
      <c r="W4" s="67"/>
      <c r="X4" s="19"/>
      <c r="Y4" s="19"/>
      <c r="Z4" s="19"/>
      <c r="AA4" s="19"/>
      <c r="AB4" s="19"/>
      <c r="AC4" s="67"/>
      <c r="AD4" s="67"/>
      <c r="AE4" s="19"/>
      <c r="AF4" s="19"/>
      <c r="AG4" s="19"/>
      <c r="AH4" s="16"/>
      <c r="AI4" s="16"/>
    </row>
    <row r="5" spans="1:35" ht="22.9" customHeight="1">
      <c r="A5" s="24">
        <v>7</v>
      </c>
      <c r="B5" s="60" t="s">
        <v>11</v>
      </c>
      <c r="C5" s="13" t="s">
        <v>12</v>
      </c>
      <c r="D5" s="24" t="s">
        <v>9</v>
      </c>
      <c r="E5" s="24" t="s">
        <v>9</v>
      </c>
      <c r="F5" s="24" t="s">
        <v>9</v>
      </c>
      <c r="G5" s="24" t="s">
        <v>9</v>
      </c>
      <c r="H5" s="65" t="s">
        <v>9</v>
      </c>
      <c r="I5" s="65" t="s">
        <v>9</v>
      </c>
      <c r="J5" s="24" t="s">
        <v>9</v>
      </c>
      <c r="K5" s="24" t="s">
        <v>9</v>
      </c>
      <c r="L5" s="24" t="s">
        <v>9</v>
      </c>
      <c r="M5" s="24" t="s">
        <v>9</v>
      </c>
      <c r="N5" s="24" t="s">
        <v>9</v>
      </c>
      <c r="O5" s="65" t="s">
        <v>9</v>
      </c>
      <c r="P5" s="65" t="s">
        <v>9</v>
      </c>
      <c r="Q5" s="24" t="s">
        <v>9</v>
      </c>
      <c r="R5" s="24" t="s">
        <v>9</v>
      </c>
      <c r="S5" s="24" t="s">
        <v>9</v>
      </c>
      <c r="T5" s="24" t="s">
        <v>9</v>
      </c>
      <c r="U5" s="24" t="s">
        <v>9</v>
      </c>
      <c r="V5" s="65" t="s">
        <v>9</v>
      </c>
      <c r="W5" s="65" t="s">
        <v>9</v>
      </c>
      <c r="X5" s="24" t="s">
        <v>9</v>
      </c>
      <c r="Y5" s="24" t="s">
        <v>9</v>
      </c>
      <c r="Z5" s="24" t="s">
        <v>9</v>
      </c>
      <c r="AA5" s="24" t="s">
        <v>9</v>
      </c>
      <c r="AB5" s="24" t="s">
        <v>9</v>
      </c>
      <c r="AC5" s="65" t="s">
        <v>9</v>
      </c>
      <c r="AD5" s="65" t="s">
        <v>9</v>
      </c>
      <c r="AE5" s="24" t="s">
        <v>9</v>
      </c>
      <c r="AF5" s="24" t="s">
        <v>9</v>
      </c>
      <c r="AG5" s="24" t="s">
        <v>9</v>
      </c>
      <c r="AH5" s="9">
        <f t="shared" ref="AH5:AH19" si="0">SUM(D5:AG5)</f>
        <v>0</v>
      </c>
      <c r="AI5" s="9">
        <f t="shared" ref="AI5:AI19" si="1">COUNT(D5:AG5)</f>
        <v>0</v>
      </c>
    </row>
    <row r="6" spans="1:35" ht="22.9" customHeight="1">
      <c r="A6" s="24">
        <v>10</v>
      </c>
      <c r="B6" s="60" t="s">
        <v>13</v>
      </c>
      <c r="C6" s="13" t="s">
        <v>12</v>
      </c>
      <c r="D6" s="24">
        <v>11</v>
      </c>
      <c r="E6" s="24">
        <v>11</v>
      </c>
      <c r="F6" s="24">
        <v>11</v>
      </c>
      <c r="G6" s="24">
        <v>11</v>
      </c>
      <c r="H6" s="65">
        <v>11</v>
      </c>
      <c r="I6" s="65">
        <v>11</v>
      </c>
      <c r="J6" s="24">
        <v>11</v>
      </c>
      <c r="K6" s="24">
        <v>11</v>
      </c>
      <c r="L6" s="24">
        <v>11</v>
      </c>
      <c r="M6" s="24">
        <v>11</v>
      </c>
      <c r="N6" s="24">
        <v>11</v>
      </c>
      <c r="O6" s="65">
        <v>11</v>
      </c>
      <c r="P6" s="65">
        <v>11</v>
      </c>
      <c r="Q6" s="24">
        <v>11</v>
      </c>
      <c r="R6" s="24">
        <v>11</v>
      </c>
      <c r="S6" s="24">
        <v>11</v>
      </c>
      <c r="T6" s="24" t="s">
        <v>14</v>
      </c>
      <c r="U6" s="24" t="s">
        <v>9</v>
      </c>
      <c r="V6" s="65" t="s">
        <v>9</v>
      </c>
      <c r="W6" s="65" t="s">
        <v>9</v>
      </c>
      <c r="X6" s="24" t="s">
        <v>9</v>
      </c>
      <c r="Y6" s="24" t="s">
        <v>9</v>
      </c>
      <c r="Z6" s="24" t="s">
        <v>9</v>
      </c>
      <c r="AA6" s="24" t="s">
        <v>9</v>
      </c>
      <c r="AB6" s="24" t="s">
        <v>9</v>
      </c>
      <c r="AC6" s="65" t="s">
        <v>9</v>
      </c>
      <c r="AD6" s="65" t="s">
        <v>9</v>
      </c>
      <c r="AE6" s="24" t="s">
        <v>9</v>
      </c>
      <c r="AF6" s="24" t="s">
        <v>9</v>
      </c>
      <c r="AG6" s="24" t="s">
        <v>9</v>
      </c>
      <c r="AH6" s="9">
        <f t="shared" si="0"/>
        <v>176</v>
      </c>
      <c r="AI6" s="9">
        <f t="shared" si="1"/>
        <v>16</v>
      </c>
    </row>
    <row r="7" spans="1:35" ht="22.9" customHeight="1">
      <c r="A7" s="24">
        <v>12</v>
      </c>
      <c r="B7" s="59" t="s">
        <v>15</v>
      </c>
      <c r="C7" s="13" t="s">
        <v>12</v>
      </c>
      <c r="D7" s="24">
        <v>11</v>
      </c>
      <c r="E7" s="24">
        <v>11</v>
      </c>
      <c r="F7" s="24">
        <v>11</v>
      </c>
      <c r="G7" s="24">
        <v>11</v>
      </c>
      <c r="H7" s="65">
        <v>11</v>
      </c>
      <c r="I7" s="65" t="s">
        <v>10</v>
      </c>
      <c r="J7" s="24">
        <v>11</v>
      </c>
      <c r="K7" s="24">
        <v>11</v>
      </c>
      <c r="L7" s="24">
        <v>11</v>
      </c>
      <c r="M7" s="24">
        <v>11</v>
      </c>
      <c r="N7" s="24">
        <v>11</v>
      </c>
      <c r="O7" s="65">
        <v>11</v>
      </c>
      <c r="P7" s="65">
        <v>11</v>
      </c>
      <c r="Q7" s="24">
        <v>11</v>
      </c>
      <c r="R7" s="24">
        <v>11</v>
      </c>
      <c r="S7" s="24">
        <v>11</v>
      </c>
      <c r="T7" s="24">
        <v>11</v>
      </c>
      <c r="U7" s="24">
        <v>11</v>
      </c>
      <c r="V7" s="65">
        <v>11</v>
      </c>
      <c r="W7" s="65" t="s">
        <v>10</v>
      </c>
      <c r="X7" s="24">
        <v>11</v>
      </c>
      <c r="Y7" s="24">
        <v>11</v>
      </c>
      <c r="Z7" s="24">
        <v>11</v>
      </c>
      <c r="AA7" s="24">
        <v>11</v>
      </c>
      <c r="AB7" s="24" t="s">
        <v>14</v>
      </c>
      <c r="AC7" s="65" t="s">
        <v>9</v>
      </c>
      <c r="AD7" s="65" t="s">
        <v>9</v>
      </c>
      <c r="AE7" s="24" t="s">
        <v>9</v>
      </c>
      <c r="AF7" s="24" t="s">
        <v>9</v>
      </c>
      <c r="AG7" s="24" t="s">
        <v>9</v>
      </c>
      <c r="AH7" s="9">
        <f t="shared" si="0"/>
        <v>242</v>
      </c>
      <c r="AI7" s="9">
        <f t="shared" si="1"/>
        <v>22</v>
      </c>
    </row>
    <row r="8" spans="1:35" ht="22.9" customHeight="1">
      <c r="A8" s="24">
        <v>19</v>
      </c>
      <c r="B8" s="60" t="s">
        <v>16</v>
      </c>
      <c r="C8" s="13" t="s">
        <v>12</v>
      </c>
      <c r="D8" s="13">
        <v>11</v>
      </c>
      <c r="E8" s="13">
        <v>11</v>
      </c>
      <c r="F8" s="13">
        <v>11</v>
      </c>
      <c r="G8" s="13">
        <v>11</v>
      </c>
      <c r="H8" s="66">
        <v>11</v>
      </c>
      <c r="I8" s="66" t="s">
        <v>10</v>
      </c>
      <c r="J8" s="13">
        <v>11</v>
      </c>
      <c r="K8" s="13">
        <v>11</v>
      </c>
      <c r="L8" s="13">
        <v>11</v>
      </c>
      <c r="M8" s="13">
        <v>11</v>
      </c>
      <c r="N8" s="13">
        <v>11</v>
      </c>
      <c r="O8" s="66">
        <v>11</v>
      </c>
      <c r="P8" s="66">
        <v>11</v>
      </c>
      <c r="Q8" s="24">
        <v>11</v>
      </c>
      <c r="R8" s="24">
        <v>11</v>
      </c>
      <c r="S8" s="13">
        <v>11</v>
      </c>
      <c r="T8" s="13">
        <v>11</v>
      </c>
      <c r="U8" s="13">
        <v>11</v>
      </c>
      <c r="V8" s="66">
        <v>11</v>
      </c>
      <c r="W8" s="66" t="s">
        <v>10</v>
      </c>
      <c r="X8" s="13">
        <v>11</v>
      </c>
      <c r="Y8" s="13">
        <v>11</v>
      </c>
      <c r="Z8" s="13">
        <v>11</v>
      </c>
      <c r="AA8" s="13">
        <v>11</v>
      </c>
      <c r="AB8" s="13">
        <v>11</v>
      </c>
      <c r="AC8" s="66">
        <v>11</v>
      </c>
      <c r="AD8" s="66">
        <v>11</v>
      </c>
      <c r="AE8" s="13">
        <v>11</v>
      </c>
      <c r="AF8" s="13">
        <v>11</v>
      </c>
      <c r="AG8" s="13">
        <v>11</v>
      </c>
      <c r="AH8" s="9">
        <f t="shared" si="0"/>
        <v>308</v>
      </c>
      <c r="AI8" s="9">
        <f t="shared" si="1"/>
        <v>28</v>
      </c>
    </row>
    <row r="9" spans="1:35" ht="22.9" customHeight="1">
      <c r="A9" s="24">
        <v>24</v>
      </c>
      <c r="B9" s="59" t="s">
        <v>17</v>
      </c>
      <c r="C9" s="13" t="s">
        <v>12</v>
      </c>
      <c r="D9" s="13" t="s">
        <v>9</v>
      </c>
      <c r="E9" s="13" t="s">
        <v>9</v>
      </c>
      <c r="F9" s="13" t="s">
        <v>9</v>
      </c>
      <c r="G9" s="13" t="s">
        <v>9</v>
      </c>
      <c r="H9" s="66" t="s">
        <v>9</v>
      </c>
      <c r="I9" s="66" t="s">
        <v>9</v>
      </c>
      <c r="J9" s="24" t="s">
        <v>9</v>
      </c>
      <c r="K9" s="24" t="s">
        <v>9</v>
      </c>
      <c r="L9" s="24" t="s">
        <v>9</v>
      </c>
      <c r="M9" s="24" t="s">
        <v>9</v>
      </c>
      <c r="N9" s="24" t="s">
        <v>9</v>
      </c>
      <c r="O9" s="65" t="s">
        <v>9</v>
      </c>
      <c r="P9" s="65" t="s">
        <v>9</v>
      </c>
      <c r="Q9" s="24" t="s">
        <v>9</v>
      </c>
      <c r="R9" s="24" t="s">
        <v>9</v>
      </c>
      <c r="S9" s="13" t="s">
        <v>9</v>
      </c>
      <c r="T9" s="13" t="s">
        <v>9</v>
      </c>
      <c r="U9" s="13" t="s">
        <v>9</v>
      </c>
      <c r="V9" s="66" t="s">
        <v>9</v>
      </c>
      <c r="W9" s="66" t="s">
        <v>9</v>
      </c>
      <c r="X9" s="24" t="s">
        <v>9</v>
      </c>
      <c r="Y9" s="24" t="s">
        <v>9</v>
      </c>
      <c r="Z9" s="24" t="s">
        <v>9</v>
      </c>
      <c r="AA9" s="24" t="s">
        <v>9</v>
      </c>
      <c r="AB9" s="24" t="s">
        <v>9</v>
      </c>
      <c r="AC9" s="65" t="s">
        <v>9</v>
      </c>
      <c r="AD9" s="65" t="s">
        <v>9</v>
      </c>
      <c r="AE9" s="24" t="s">
        <v>9</v>
      </c>
      <c r="AF9" s="24" t="s">
        <v>9</v>
      </c>
      <c r="AG9" s="24" t="s">
        <v>9</v>
      </c>
      <c r="AH9" s="9">
        <f t="shared" si="0"/>
        <v>0</v>
      </c>
      <c r="AI9" s="9">
        <f t="shared" si="1"/>
        <v>0</v>
      </c>
    </row>
    <row r="10" spans="1:35" ht="22.9" customHeight="1">
      <c r="A10" s="24">
        <v>34</v>
      </c>
      <c r="B10" s="59" t="s">
        <v>18</v>
      </c>
      <c r="C10" s="13" t="s">
        <v>12</v>
      </c>
      <c r="D10" s="13">
        <v>11</v>
      </c>
      <c r="E10" s="13">
        <v>11</v>
      </c>
      <c r="F10" s="13">
        <v>11</v>
      </c>
      <c r="G10" s="13">
        <v>11</v>
      </c>
      <c r="H10" s="66">
        <v>11</v>
      </c>
      <c r="I10" s="66" t="s">
        <v>10</v>
      </c>
      <c r="J10" s="13">
        <v>11</v>
      </c>
      <c r="K10" s="13">
        <v>11</v>
      </c>
      <c r="L10" s="13">
        <v>11</v>
      </c>
      <c r="M10" s="13">
        <v>11</v>
      </c>
      <c r="N10" s="13">
        <v>11</v>
      </c>
      <c r="O10" s="66">
        <v>11</v>
      </c>
      <c r="P10" s="66">
        <v>11</v>
      </c>
      <c r="Q10" s="13">
        <v>11</v>
      </c>
      <c r="R10" s="13">
        <v>11</v>
      </c>
      <c r="S10" s="13">
        <v>11</v>
      </c>
      <c r="T10" s="13">
        <v>11</v>
      </c>
      <c r="U10" s="13">
        <v>11</v>
      </c>
      <c r="V10" s="66">
        <v>11</v>
      </c>
      <c r="W10" s="66" t="s">
        <v>10</v>
      </c>
      <c r="X10" s="13">
        <v>11</v>
      </c>
      <c r="Y10" s="13">
        <v>11</v>
      </c>
      <c r="Z10" s="13">
        <v>11</v>
      </c>
      <c r="AA10" s="13">
        <v>11</v>
      </c>
      <c r="AB10" s="13">
        <v>11</v>
      </c>
      <c r="AC10" s="66">
        <v>11</v>
      </c>
      <c r="AD10" s="66">
        <v>11</v>
      </c>
      <c r="AE10" s="13">
        <v>11</v>
      </c>
      <c r="AF10" s="13">
        <v>11</v>
      </c>
      <c r="AG10" s="13">
        <v>11</v>
      </c>
      <c r="AH10" s="9">
        <f t="shared" si="0"/>
        <v>308</v>
      </c>
      <c r="AI10" s="9">
        <f t="shared" si="1"/>
        <v>28</v>
      </c>
    </row>
    <row r="11" spans="1:35" ht="22.9" customHeight="1">
      <c r="A11" s="24">
        <v>37</v>
      </c>
      <c r="B11" s="59" t="s">
        <v>19</v>
      </c>
      <c r="C11" s="13" t="s">
        <v>12</v>
      </c>
      <c r="D11" s="13">
        <v>11</v>
      </c>
      <c r="E11" s="13">
        <v>11</v>
      </c>
      <c r="F11" s="13">
        <v>11</v>
      </c>
      <c r="G11" s="13">
        <v>11</v>
      </c>
      <c r="H11" s="66">
        <v>11</v>
      </c>
      <c r="I11" s="66" t="s">
        <v>10</v>
      </c>
      <c r="J11" s="13">
        <v>11</v>
      </c>
      <c r="K11" s="13">
        <v>11</v>
      </c>
      <c r="L11" s="13">
        <v>11</v>
      </c>
      <c r="M11" s="13">
        <v>11</v>
      </c>
      <c r="N11" s="13">
        <v>11</v>
      </c>
      <c r="O11" s="66">
        <v>11</v>
      </c>
      <c r="P11" s="66">
        <v>11</v>
      </c>
      <c r="Q11" s="13">
        <v>11</v>
      </c>
      <c r="R11" s="13">
        <v>11</v>
      </c>
      <c r="S11" s="13">
        <v>11</v>
      </c>
      <c r="T11" s="13">
        <v>11</v>
      </c>
      <c r="U11" s="13">
        <v>11</v>
      </c>
      <c r="V11" s="66">
        <v>11</v>
      </c>
      <c r="W11" s="66" t="s">
        <v>10</v>
      </c>
      <c r="X11" s="13">
        <v>11</v>
      </c>
      <c r="Y11" s="13">
        <v>11</v>
      </c>
      <c r="Z11" s="13">
        <v>11</v>
      </c>
      <c r="AA11" s="13">
        <v>11</v>
      </c>
      <c r="AB11" s="13">
        <v>11</v>
      </c>
      <c r="AC11" s="66">
        <v>11</v>
      </c>
      <c r="AD11" s="66">
        <v>11</v>
      </c>
      <c r="AE11" s="13">
        <v>11</v>
      </c>
      <c r="AF11" s="13">
        <v>11</v>
      </c>
      <c r="AG11" s="13">
        <v>11</v>
      </c>
      <c r="AH11" s="9">
        <f t="shared" si="0"/>
        <v>308</v>
      </c>
      <c r="AI11" s="9">
        <f t="shared" si="1"/>
        <v>28</v>
      </c>
    </row>
    <row r="12" spans="1:35" ht="22.9" customHeight="1">
      <c r="A12" s="24">
        <v>45</v>
      </c>
      <c r="B12" s="59" t="s">
        <v>20</v>
      </c>
      <c r="C12" s="13" t="s">
        <v>12</v>
      </c>
      <c r="D12" s="13" t="s">
        <v>9</v>
      </c>
      <c r="E12" s="13" t="s">
        <v>9</v>
      </c>
      <c r="F12" s="13" t="s">
        <v>9</v>
      </c>
      <c r="G12" s="13" t="s">
        <v>9</v>
      </c>
      <c r="H12" s="66" t="s">
        <v>9</v>
      </c>
      <c r="I12" s="66" t="s">
        <v>9</v>
      </c>
      <c r="J12" s="24" t="s">
        <v>9</v>
      </c>
      <c r="K12" s="24" t="s">
        <v>9</v>
      </c>
      <c r="L12" s="24" t="s">
        <v>9</v>
      </c>
      <c r="M12" s="24" t="s">
        <v>9</v>
      </c>
      <c r="N12" s="24" t="s">
        <v>9</v>
      </c>
      <c r="O12" s="65" t="s">
        <v>9</v>
      </c>
      <c r="P12" s="65" t="s">
        <v>9</v>
      </c>
      <c r="Q12" s="24" t="s">
        <v>9</v>
      </c>
      <c r="R12" s="24" t="s">
        <v>9</v>
      </c>
      <c r="S12" s="24" t="s">
        <v>9</v>
      </c>
      <c r="T12" s="24" t="s">
        <v>9</v>
      </c>
      <c r="U12" s="24" t="s">
        <v>9</v>
      </c>
      <c r="V12" s="66" t="s">
        <v>9</v>
      </c>
      <c r="W12" s="66" t="s">
        <v>9</v>
      </c>
      <c r="X12" s="13" t="s">
        <v>9</v>
      </c>
      <c r="Y12" s="13" t="s">
        <v>9</v>
      </c>
      <c r="Z12" s="13" t="s">
        <v>9</v>
      </c>
      <c r="AA12" s="13" t="s">
        <v>9</v>
      </c>
      <c r="AB12" s="13" t="s">
        <v>9</v>
      </c>
      <c r="AC12" s="66" t="s">
        <v>9</v>
      </c>
      <c r="AD12" s="66" t="s">
        <v>9</v>
      </c>
      <c r="AE12" s="24" t="s">
        <v>9</v>
      </c>
      <c r="AF12" s="13" t="s">
        <v>9</v>
      </c>
      <c r="AG12" s="13" t="s">
        <v>9</v>
      </c>
      <c r="AH12" s="9">
        <f t="shared" si="0"/>
        <v>0</v>
      </c>
      <c r="AI12" s="9">
        <f t="shared" si="1"/>
        <v>0</v>
      </c>
    </row>
    <row r="13" spans="1:35" ht="22.9" customHeight="1">
      <c r="A13" s="24">
        <v>46</v>
      </c>
      <c r="B13" s="59" t="s">
        <v>21</v>
      </c>
      <c r="C13" s="13" t="s">
        <v>12</v>
      </c>
      <c r="D13" s="13">
        <v>11</v>
      </c>
      <c r="E13" s="13">
        <v>11</v>
      </c>
      <c r="F13" s="13">
        <v>11</v>
      </c>
      <c r="G13" s="13">
        <v>11</v>
      </c>
      <c r="H13" s="66">
        <v>11</v>
      </c>
      <c r="I13" s="66" t="s">
        <v>10</v>
      </c>
      <c r="J13" s="13">
        <v>11</v>
      </c>
      <c r="K13" s="13">
        <v>11</v>
      </c>
      <c r="L13" s="13">
        <v>11</v>
      </c>
      <c r="M13" s="13">
        <v>11</v>
      </c>
      <c r="N13" s="13">
        <v>11</v>
      </c>
      <c r="O13" s="66">
        <v>11</v>
      </c>
      <c r="P13" s="66">
        <v>11</v>
      </c>
      <c r="Q13" s="13">
        <v>11</v>
      </c>
      <c r="R13" s="13">
        <v>11</v>
      </c>
      <c r="S13" s="13">
        <v>11</v>
      </c>
      <c r="T13" s="13">
        <v>11</v>
      </c>
      <c r="U13" s="13">
        <v>11</v>
      </c>
      <c r="V13" s="66">
        <v>11</v>
      </c>
      <c r="W13" s="66" t="s">
        <v>10</v>
      </c>
      <c r="X13" s="13">
        <v>11</v>
      </c>
      <c r="Y13" s="13">
        <v>11</v>
      </c>
      <c r="Z13" s="13">
        <v>11</v>
      </c>
      <c r="AA13" s="13">
        <v>11</v>
      </c>
      <c r="AB13" s="13">
        <v>11</v>
      </c>
      <c r="AC13" s="66">
        <v>11</v>
      </c>
      <c r="AD13" s="66" t="s">
        <v>10</v>
      </c>
      <c r="AE13" s="13" t="s">
        <v>14</v>
      </c>
      <c r="AF13" s="13" t="s">
        <v>9</v>
      </c>
      <c r="AG13" s="13" t="s">
        <v>9</v>
      </c>
      <c r="AH13" s="9">
        <f t="shared" si="0"/>
        <v>264</v>
      </c>
      <c r="AI13" s="9">
        <f t="shared" si="1"/>
        <v>24</v>
      </c>
    </row>
    <row r="14" spans="1:35" ht="22.9" customHeight="1">
      <c r="A14" s="24">
        <v>47</v>
      </c>
      <c r="B14" s="59" t="s">
        <v>22</v>
      </c>
      <c r="C14" s="13" t="s">
        <v>12</v>
      </c>
      <c r="D14" s="13">
        <v>11</v>
      </c>
      <c r="E14" s="13">
        <v>11</v>
      </c>
      <c r="F14" s="13">
        <v>11</v>
      </c>
      <c r="G14" s="13">
        <v>11</v>
      </c>
      <c r="H14" s="66" t="s">
        <v>10</v>
      </c>
      <c r="I14" s="66">
        <v>11</v>
      </c>
      <c r="J14" s="13">
        <v>11</v>
      </c>
      <c r="K14" s="13">
        <v>11</v>
      </c>
      <c r="L14" s="13">
        <v>11</v>
      </c>
      <c r="M14" s="13">
        <v>11</v>
      </c>
      <c r="N14" s="13">
        <v>11</v>
      </c>
      <c r="O14" s="66">
        <v>11</v>
      </c>
      <c r="P14" s="66">
        <v>11</v>
      </c>
      <c r="Q14" s="13">
        <v>11</v>
      </c>
      <c r="R14" s="13">
        <v>11</v>
      </c>
      <c r="S14" s="13">
        <v>11</v>
      </c>
      <c r="T14" s="13">
        <v>11</v>
      </c>
      <c r="U14" s="13">
        <v>11</v>
      </c>
      <c r="V14" s="66">
        <v>11</v>
      </c>
      <c r="W14" s="66" t="s">
        <v>10</v>
      </c>
      <c r="X14" s="13">
        <v>11</v>
      </c>
      <c r="Y14" s="13">
        <v>11</v>
      </c>
      <c r="Z14" s="13">
        <v>11</v>
      </c>
      <c r="AA14" s="13">
        <v>11</v>
      </c>
      <c r="AB14" s="13">
        <v>11</v>
      </c>
      <c r="AC14" s="66">
        <v>11</v>
      </c>
      <c r="AD14" s="66">
        <v>11</v>
      </c>
      <c r="AE14" s="13">
        <v>11</v>
      </c>
      <c r="AF14" s="13">
        <v>11</v>
      </c>
      <c r="AG14" s="13">
        <v>11</v>
      </c>
      <c r="AH14" s="9">
        <f t="shared" si="0"/>
        <v>308</v>
      </c>
      <c r="AI14" s="9">
        <f t="shared" si="1"/>
        <v>28</v>
      </c>
    </row>
    <row r="15" spans="1:35" ht="22.9" customHeight="1">
      <c r="A15" s="24">
        <v>48</v>
      </c>
      <c r="B15" s="60" t="s">
        <v>23</v>
      </c>
      <c r="C15" s="13" t="s">
        <v>12</v>
      </c>
      <c r="D15" s="13">
        <v>11</v>
      </c>
      <c r="E15" s="13">
        <v>11</v>
      </c>
      <c r="F15" s="13">
        <v>11</v>
      </c>
      <c r="G15" s="13">
        <v>11</v>
      </c>
      <c r="H15" s="66">
        <v>11</v>
      </c>
      <c r="I15" s="66" t="s">
        <v>10</v>
      </c>
      <c r="J15" s="13">
        <v>11</v>
      </c>
      <c r="K15" s="13">
        <v>11</v>
      </c>
      <c r="L15" s="13">
        <v>11</v>
      </c>
      <c r="M15" s="13">
        <v>11</v>
      </c>
      <c r="N15" s="13">
        <v>11</v>
      </c>
      <c r="O15" s="66">
        <v>11</v>
      </c>
      <c r="P15" s="66">
        <v>11</v>
      </c>
      <c r="Q15" s="13">
        <v>11</v>
      </c>
      <c r="R15" s="13">
        <v>11</v>
      </c>
      <c r="S15" s="13">
        <v>11</v>
      </c>
      <c r="T15" s="13">
        <v>11</v>
      </c>
      <c r="U15" s="13">
        <v>11</v>
      </c>
      <c r="V15" s="66">
        <v>11</v>
      </c>
      <c r="W15" s="66">
        <v>11</v>
      </c>
      <c r="X15" s="13">
        <v>11</v>
      </c>
      <c r="Y15" s="13">
        <v>11</v>
      </c>
      <c r="Z15" s="13">
        <v>11</v>
      </c>
      <c r="AA15" s="13">
        <v>11</v>
      </c>
      <c r="AB15" s="13">
        <v>11</v>
      </c>
      <c r="AC15" s="66" t="s">
        <v>10</v>
      </c>
      <c r="AD15" s="66">
        <v>11</v>
      </c>
      <c r="AE15" s="13">
        <v>11</v>
      </c>
      <c r="AF15" s="13">
        <v>11</v>
      </c>
      <c r="AG15" s="13">
        <v>11</v>
      </c>
      <c r="AH15" s="9">
        <f t="shared" si="0"/>
        <v>308</v>
      </c>
      <c r="AI15" s="9">
        <f t="shared" si="1"/>
        <v>28</v>
      </c>
    </row>
    <row r="16" spans="1:35" ht="22.9" customHeight="1">
      <c r="A16" s="24">
        <v>51</v>
      </c>
      <c r="B16" s="59" t="s">
        <v>24</v>
      </c>
      <c r="C16" s="13" t="s">
        <v>12</v>
      </c>
      <c r="D16" s="13" t="s">
        <v>9</v>
      </c>
      <c r="E16" s="13" t="s">
        <v>9</v>
      </c>
      <c r="F16" s="13" t="s">
        <v>9</v>
      </c>
      <c r="G16" s="13" t="s">
        <v>9</v>
      </c>
      <c r="H16" s="66" t="s">
        <v>9</v>
      </c>
      <c r="I16" s="66" t="s">
        <v>9</v>
      </c>
      <c r="J16" s="24" t="s">
        <v>9</v>
      </c>
      <c r="K16" s="24" t="s">
        <v>9</v>
      </c>
      <c r="L16" s="24" t="s">
        <v>9</v>
      </c>
      <c r="M16" s="24" t="s">
        <v>9</v>
      </c>
      <c r="N16" s="24" t="s">
        <v>9</v>
      </c>
      <c r="O16" s="65" t="s">
        <v>9</v>
      </c>
      <c r="P16" s="65" t="s">
        <v>9</v>
      </c>
      <c r="Q16" s="24" t="s">
        <v>9</v>
      </c>
      <c r="R16" s="24" t="s">
        <v>9</v>
      </c>
      <c r="S16" s="24" t="s">
        <v>9</v>
      </c>
      <c r="T16" s="24" t="s">
        <v>9</v>
      </c>
      <c r="U16" s="24" t="s">
        <v>9</v>
      </c>
      <c r="V16" s="66" t="s">
        <v>9</v>
      </c>
      <c r="W16" s="66" t="s">
        <v>9</v>
      </c>
      <c r="X16" s="13" t="s">
        <v>9</v>
      </c>
      <c r="Y16" s="13" t="s">
        <v>9</v>
      </c>
      <c r="Z16" s="13" t="s">
        <v>9</v>
      </c>
      <c r="AA16" s="13" t="s">
        <v>9</v>
      </c>
      <c r="AB16" s="13" t="s">
        <v>9</v>
      </c>
      <c r="AC16" s="66" t="s">
        <v>9</v>
      </c>
      <c r="AD16" s="66" t="s">
        <v>9</v>
      </c>
      <c r="AE16" s="13" t="s">
        <v>14</v>
      </c>
      <c r="AF16" s="13">
        <v>11</v>
      </c>
      <c r="AG16" s="13">
        <v>11</v>
      </c>
      <c r="AH16" s="9">
        <f t="shared" si="0"/>
        <v>22</v>
      </c>
      <c r="AI16" s="9">
        <f t="shared" si="1"/>
        <v>2</v>
      </c>
    </row>
    <row r="17" spans="1:35" ht="22.9" customHeight="1">
      <c r="A17" s="24">
        <v>52</v>
      </c>
      <c r="B17" s="59" t="s">
        <v>25</v>
      </c>
      <c r="C17" s="13" t="s">
        <v>12</v>
      </c>
      <c r="D17" s="13" t="s">
        <v>9</v>
      </c>
      <c r="E17" s="13" t="s">
        <v>9</v>
      </c>
      <c r="F17" s="13" t="s">
        <v>9</v>
      </c>
      <c r="G17" s="13" t="s">
        <v>9</v>
      </c>
      <c r="H17" s="66" t="s">
        <v>9</v>
      </c>
      <c r="I17" s="66" t="s">
        <v>9</v>
      </c>
      <c r="J17" s="24" t="s">
        <v>9</v>
      </c>
      <c r="K17" s="24" t="s">
        <v>9</v>
      </c>
      <c r="L17" s="24" t="s">
        <v>9</v>
      </c>
      <c r="M17" s="24" t="s">
        <v>9</v>
      </c>
      <c r="N17" s="24" t="s">
        <v>9</v>
      </c>
      <c r="O17" s="65" t="s">
        <v>9</v>
      </c>
      <c r="P17" s="65" t="s">
        <v>9</v>
      </c>
      <c r="Q17" s="24" t="s">
        <v>9</v>
      </c>
      <c r="R17" s="24" t="s">
        <v>9</v>
      </c>
      <c r="S17" s="24" t="s">
        <v>9</v>
      </c>
      <c r="T17" s="24" t="s">
        <v>9</v>
      </c>
      <c r="U17" s="24" t="s">
        <v>9</v>
      </c>
      <c r="V17" s="66" t="s">
        <v>9</v>
      </c>
      <c r="W17" s="66" t="s">
        <v>9</v>
      </c>
      <c r="X17" s="13" t="s">
        <v>9</v>
      </c>
      <c r="Y17" s="13" t="s">
        <v>9</v>
      </c>
      <c r="Z17" s="13" t="s">
        <v>9</v>
      </c>
      <c r="AA17" s="13" t="s">
        <v>9</v>
      </c>
      <c r="AB17" s="13" t="s">
        <v>9</v>
      </c>
      <c r="AC17" s="66" t="s">
        <v>9</v>
      </c>
      <c r="AD17" s="66" t="s">
        <v>14</v>
      </c>
      <c r="AE17" s="13">
        <v>11</v>
      </c>
      <c r="AF17" s="13">
        <v>11</v>
      </c>
      <c r="AG17" s="13">
        <v>11</v>
      </c>
      <c r="AH17" s="9">
        <f t="shared" si="0"/>
        <v>33</v>
      </c>
      <c r="AI17" s="9">
        <f t="shared" si="1"/>
        <v>3</v>
      </c>
    </row>
    <row r="18" spans="1:35" ht="22.9" customHeight="1">
      <c r="A18" s="24">
        <v>56</v>
      </c>
      <c r="B18" s="60" t="s">
        <v>26</v>
      </c>
      <c r="C18" s="13" t="s">
        <v>12</v>
      </c>
      <c r="D18" s="13">
        <v>11</v>
      </c>
      <c r="E18" s="13">
        <v>11</v>
      </c>
      <c r="F18" s="13">
        <v>11</v>
      </c>
      <c r="G18" s="13">
        <v>11</v>
      </c>
      <c r="H18" s="66">
        <v>11</v>
      </c>
      <c r="I18" s="66" t="s">
        <v>6</v>
      </c>
      <c r="J18" s="13">
        <v>11</v>
      </c>
      <c r="K18" s="13">
        <v>11</v>
      </c>
      <c r="L18" s="13">
        <v>11</v>
      </c>
      <c r="M18" s="13">
        <v>11</v>
      </c>
      <c r="N18" s="13">
        <v>11</v>
      </c>
      <c r="O18" s="66">
        <v>11</v>
      </c>
      <c r="P18" s="66">
        <v>11</v>
      </c>
      <c r="Q18" s="13">
        <v>11</v>
      </c>
      <c r="R18" s="13">
        <v>11</v>
      </c>
      <c r="S18" s="13">
        <v>11</v>
      </c>
      <c r="T18" s="13">
        <v>11</v>
      </c>
      <c r="U18" s="13">
        <v>11</v>
      </c>
      <c r="V18" s="66">
        <v>11</v>
      </c>
      <c r="W18" s="66">
        <v>11</v>
      </c>
      <c r="X18" s="13">
        <v>11</v>
      </c>
      <c r="Y18" s="13">
        <v>11</v>
      </c>
      <c r="Z18" s="13">
        <v>11</v>
      </c>
      <c r="AA18" s="13">
        <v>11</v>
      </c>
      <c r="AB18" s="13">
        <v>11</v>
      </c>
      <c r="AC18" s="66">
        <v>11</v>
      </c>
      <c r="AD18" s="66">
        <v>11</v>
      </c>
      <c r="AE18" s="13">
        <v>11</v>
      </c>
      <c r="AF18" s="13">
        <v>11</v>
      </c>
      <c r="AG18" s="13">
        <v>11</v>
      </c>
      <c r="AH18" s="9">
        <f t="shared" si="0"/>
        <v>319</v>
      </c>
      <c r="AI18" s="9">
        <f t="shared" si="1"/>
        <v>29</v>
      </c>
    </row>
    <row r="19" spans="1:35" ht="22.9" customHeight="1">
      <c r="A19" s="24">
        <v>58</v>
      </c>
      <c r="B19" s="60" t="s">
        <v>27</v>
      </c>
      <c r="C19" s="13" t="s">
        <v>12</v>
      </c>
      <c r="D19" s="13">
        <v>11</v>
      </c>
      <c r="E19" s="13">
        <v>11</v>
      </c>
      <c r="F19" s="13">
        <v>11</v>
      </c>
      <c r="G19" s="13">
        <v>11</v>
      </c>
      <c r="H19" s="66">
        <v>11</v>
      </c>
      <c r="I19" s="66">
        <v>11</v>
      </c>
      <c r="J19" s="13">
        <v>11</v>
      </c>
      <c r="K19" s="13">
        <v>11</v>
      </c>
      <c r="L19" s="13">
        <v>11</v>
      </c>
      <c r="M19" s="13">
        <v>11</v>
      </c>
      <c r="N19" s="13">
        <v>11</v>
      </c>
      <c r="O19" s="66">
        <v>11</v>
      </c>
      <c r="P19" s="66">
        <v>11</v>
      </c>
      <c r="Q19" s="13">
        <v>11</v>
      </c>
      <c r="R19" s="13">
        <v>11</v>
      </c>
      <c r="S19" s="13">
        <v>11</v>
      </c>
      <c r="T19" s="13">
        <v>11</v>
      </c>
      <c r="U19" s="13">
        <v>11</v>
      </c>
      <c r="V19" s="66">
        <v>11</v>
      </c>
      <c r="W19" s="66">
        <v>11</v>
      </c>
      <c r="X19" s="13">
        <v>11</v>
      </c>
      <c r="Y19" s="13">
        <v>11</v>
      </c>
      <c r="Z19" s="13">
        <v>11</v>
      </c>
      <c r="AA19" s="13">
        <v>11</v>
      </c>
      <c r="AB19" s="13">
        <v>11</v>
      </c>
      <c r="AC19" s="66">
        <v>11</v>
      </c>
      <c r="AD19" s="66">
        <v>11</v>
      </c>
      <c r="AE19" s="13">
        <v>11</v>
      </c>
      <c r="AF19" s="13">
        <v>11</v>
      </c>
      <c r="AG19" s="13" t="s">
        <v>7</v>
      </c>
      <c r="AH19" s="9">
        <f t="shared" si="0"/>
        <v>319</v>
      </c>
      <c r="AI19" s="9">
        <f t="shared" si="1"/>
        <v>29</v>
      </c>
    </row>
    <row r="20" spans="1:35" ht="22.9" customHeight="1">
      <c r="A20" s="24">
        <v>67</v>
      </c>
      <c r="B20" s="60" t="s">
        <v>28</v>
      </c>
      <c r="C20" s="13" t="s">
        <v>12</v>
      </c>
      <c r="D20" s="13">
        <v>11</v>
      </c>
      <c r="E20" s="13">
        <v>11</v>
      </c>
      <c r="F20" s="13">
        <v>11</v>
      </c>
      <c r="G20" s="13">
        <v>11</v>
      </c>
      <c r="H20" s="66">
        <v>11</v>
      </c>
      <c r="I20" s="66" t="s">
        <v>6</v>
      </c>
      <c r="J20" s="13">
        <v>11</v>
      </c>
      <c r="K20" s="13">
        <v>11</v>
      </c>
      <c r="L20" s="13">
        <v>11</v>
      </c>
      <c r="M20" s="13">
        <v>11</v>
      </c>
      <c r="N20" s="13">
        <v>11</v>
      </c>
      <c r="O20" s="66">
        <v>11</v>
      </c>
      <c r="P20" s="66">
        <v>11</v>
      </c>
      <c r="Q20" s="13">
        <v>11</v>
      </c>
      <c r="R20" s="13">
        <v>11</v>
      </c>
      <c r="S20" s="13">
        <v>11</v>
      </c>
      <c r="T20" s="13">
        <v>11</v>
      </c>
      <c r="U20" s="13">
        <v>11</v>
      </c>
      <c r="V20" s="66">
        <v>11</v>
      </c>
      <c r="W20" s="66">
        <v>11</v>
      </c>
      <c r="X20" s="13">
        <v>11</v>
      </c>
      <c r="Y20" s="13">
        <v>11</v>
      </c>
      <c r="Z20" s="13">
        <v>11</v>
      </c>
      <c r="AA20" s="13">
        <v>11</v>
      </c>
      <c r="AB20" s="13">
        <v>11</v>
      </c>
      <c r="AC20" s="66">
        <v>11</v>
      </c>
      <c r="AD20" s="66">
        <v>11</v>
      </c>
      <c r="AE20" s="13" t="s">
        <v>7</v>
      </c>
      <c r="AF20" s="13">
        <v>11</v>
      </c>
      <c r="AG20" s="13">
        <v>11</v>
      </c>
      <c r="AH20" s="9">
        <f t="shared" ref="AH20:AH27" si="2">SUM(D20:AG20)</f>
        <v>308</v>
      </c>
      <c r="AI20" s="9">
        <f t="shared" ref="AI20:AI27" si="3">COUNT(D20:AG20)</f>
        <v>28</v>
      </c>
    </row>
    <row r="21" spans="1:35" ht="22.9" customHeight="1">
      <c r="A21" s="24">
        <v>69</v>
      </c>
      <c r="B21" s="59" t="s">
        <v>29</v>
      </c>
      <c r="C21" s="13" t="s">
        <v>12</v>
      </c>
      <c r="D21" s="13" t="s">
        <v>9</v>
      </c>
      <c r="E21" s="13" t="s">
        <v>9</v>
      </c>
      <c r="F21" s="13" t="s">
        <v>9</v>
      </c>
      <c r="G21" s="13" t="s">
        <v>9</v>
      </c>
      <c r="H21" s="66" t="s">
        <v>9</v>
      </c>
      <c r="I21" s="66" t="s">
        <v>9</v>
      </c>
      <c r="J21" s="24" t="s">
        <v>9</v>
      </c>
      <c r="K21" s="24" t="s">
        <v>9</v>
      </c>
      <c r="L21" s="24" t="s">
        <v>9</v>
      </c>
      <c r="M21" s="24" t="s">
        <v>9</v>
      </c>
      <c r="N21" s="24" t="s">
        <v>9</v>
      </c>
      <c r="O21" s="65" t="s">
        <v>9</v>
      </c>
      <c r="P21" s="65" t="s">
        <v>9</v>
      </c>
      <c r="Q21" s="24" t="s">
        <v>9</v>
      </c>
      <c r="R21" s="24" t="s">
        <v>9</v>
      </c>
      <c r="S21" s="24" t="s">
        <v>9</v>
      </c>
      <c r="T21" s="24" t="s">
        <v>9</v>
      </c>
      <c r="U21" s="24" t="s">
        <v>9</v>
      </c>
      <c r="V21" s="66" t="s">
        <v>9</v>
      </c>
      <c r="W21" s="66" t="s">
        <v>9</v>
      </c>
      <c r="X21" s="13" t="s">
        <v>9</v>
      </c>
      <c r="Y21" s="13" t="s">
        <v>9</v>
      </c>
      <c r="Z21" s="13" t="s">
        <v>9</v>
      </c>
      <c r="AA21" s="13" t="s">
        <v>9</v>
      </c>
      <c r="AB21" s="13" t="s">
        <v>9</v>
      </c>
      <c r="AC21" s="66" t="s">
        <v>9</v>
      </c>
      <c r="AD21" s="66" t="s">
        <v>14</v>
      </c>
      <c r="AE21" s="13">
        <v>11</v>
      </c>
      <c r="AF21" s="13">
        <v>11</v>
      </c>
      <c r="AG21" s="13">
        <v>11</v>
      </c>
      <c r="AH21" s="9">
        <f t="shared" si="2"/>
        <v>33</v>
      </c>
      <c r="AI21" s="9">
        <f t="shared" si="3"/>
        <v>3</v>
      </c>
    </row>
    <row r="22" spans="1:35" ht="22.9" customHeight="1">
      <c r="A22" s="24">
        <v>73</v>
      </c>
      <c r="B22" s="60" t="s">
        <v>30</v>
      </c>
      <c r="C22" s="13" t="s">
        <v>12</v>
      </c>
      <c r="D22" s="13">
        <v>11</v>
      </c>
      <c r="E22" s="13">
        <v>11</v>
      </c>
      <c r="F22" s="13">
        <v>11</v>
      </c>
      <c r="G22" s="13">
        <v>11</v>
      </c>
      <c r="H22" s="66">
        <v>11</v>
      </c>
      <c r="I22" s="66" t="s">
        <v>6</v>
      </c>
      <c r="J22" s="13">
        <v>11</v>
      </c>
      <c r="K22" s="13">
        <v>11</v>
      </c>
      <c r="L22" s="13">
        <v>11</v>
      </c>
      <c r="M22" s="13">
        <v>11</v>
      </c>
      <c r="N22" s="13">
        <v>11</v>
      </c>
      <c r="O22" s="66">
        <v>11</v>
      </c>
      <c r="P22" s="66">
        <v>11</v>
      </c>
      <c r="Q22" s="13">
        <v>11</v>
      </c>
      <c r="R22" s="13">
        <v>11</v>
      </c>
      <c r="S22" s="13">
        <v>11</v>
      </c>
      <c r="T22" s="13">
        <v>11</v>
      </c>
      <c r="U22" s="13">
        <v>11</v>
      </c>
      <c r="V22" s="66">
        <v>11</v>
      </c>
      <c r="W22" s="66" t="s">
        <v>10</v>
      </c>
      <c r="X22" s="13">
        <v>11</v>
      </c>
      <c r="Y22" s="13">
        <v>11</v>
      </c>
      <c r="Z22" s="13">
        <v>11</v>
      </c>
      <c r="AA22" s="13">
        <v>11</v>
      </c>
      <c r="AB22" s="13">
        <v>11</v>
      </c>
      <c r="AC22" s="66" t="s">
        <v>10</v>
      </c>
      <c r="AD22" s="66">
        <v>11</v>
      </c>
      <c r="AE22" s="13">
        <v>11</v>
      </c>
      <c r="AF22" s="13">
        <v>11</v>
      </c>
      <c r="AG22" s="13">
        <v>11</v>
      </c>
      <c r="AH22" s="9">
        <f t="shared" si="2"/>
        <v>297</v>
      </c>
      <c r="AI22" s="9">
        <f t="shared" si="3"/>
        <v>27</v>
      </c>
    </row>
    <row r="23" spans="1:35" ht="22.9" customHeight="1">
      <c r="A23" s="24">
        <v>84</v>
      </c>
      <c r="B23" s="59" t="s">
        <v>31</v>
      </c>
      <c r="C23" s="13" t="s">
        <v>12</v>
      </c>
      <c r="D23" s="24" t="s">
        <v>9</v>
      </c>
      <c r="E23" s="24" t="s">
        <v>9</v>
      </c>
      <c r="F23" s="24" t="s">
        <v>9</v>
      </c>
      <c r="G23" s="24" t="s">
        <v>9</v>
      </c>
      <c r="H23" s="65" t="s">
        <v>9</v>
      </c>
      <c r="I23" s="65" t="s">
        <v>9</v>
      </c>
      <c r="J23" s="24" t="s">
        <v>9</v>
      </c>
      <c r="K23" s="24" t="s">
        <v>9</v>
      </c>
      <c r="L23" s="24" t="s">
        <v>9</v>
      </c>
      <c r="M23" s="24" t="s">
        <v>9</v>
      </c>
      <c r="N23" s="24" t="s">
        <v>9</v>
      </c>
      <c r="O23" s="65" t="s">
        <v>9</v>
      </c>
      <c r="P23" s="65" t="s">
        <v>9</v>
      </c>
      <c r="Q23" s="24" t="s">
        <v>9</v>
      </c>
      <c r="R23" s="24" t="s">
        <v>9</v>
      </c>
      <c r="S23" s="24" t="s">
        <v>9</v>
      </c>
      <c r="T23" s="24" t="s">
        <v>9</v>
      </c>
      <c r="U23" s="24" t="s">
        <v>9</v>
      </c>
      <c r="V23" s="65" t="s">
        <v>9</v>
      </c>
      <c r="W23" s="65" t="s">
        <v>9</v>
      </c>
      <c r="X23" s="13" t="s">
        <v>9</v>
      </c>
      <c r="Y23" s="13" t="s">
        <v>9</v>
      </c>
      <c r="Z23" s="13" t="s">
        <v>9</v>
      </c>
      <c r="AA23" s="13" t="s">
        <v>9</v>
      </c>
      <c r="AB23" s="13" t="s">
        <v>9</v>
      </c>
      <c r="AC23" s="66" t="s">
        <v>9</v>
      </c>
      <c r="AD23" s="66" t="s">
        <v>9</v>
      </c>
      <c r="AE23" s="24" t="s">
        <v>9</v>
      </c>
      <c r="AF23" s="24" t="s">
        <v>9</v>
      </c>
      <c r="AG23" s="24" t="s">
        <v>9</v>
      </c>
      <c r="AH23" s="9">
        <f t="shared" si="2"/>
        <v>0</v>
      </c>
      <c r="AI23" s="9">
        <f t="shared" si="3"/>
        <v>0</v>
      </c>
    </row>
    <row r="24" spans="1:35" ht="22.9" customHeight="1">
      <c r="A24" s="24">
        <v>87</v>
      </c>
      <c r="B24" s="59" t="s">
        <v>32</v>
      </c>
      <c r="C24" s="13" t="s">
        <v>12</v>
      </c>
      <c r="D24" s="24">
        <v>11</v>
      </c>
      <c r="E24" s="24">
        <v>11</v>
      </c>
      <c r="F24" s="24">
        <v>11</v>
      </c>
      <c r="G24" s="24">
        <v>11</v>
      </c>
      <c r="H24" s="65">
        <v>11</v>
      </c>
      <c r="I24" s="65" t="s">
        <v>6</v>
      </c>
      <c r="J24" s="24">
        <v>11</v>
      </c>
      <c r="K24" s="24">
        <v>11</v>
      </c>
      <c r="L24" s="24">
        <v>11</v>
      </c>
      <c r="M24" s="24">
        <v>11</v>
      </c>
      <c r="N24" s="24">
        <v>11</v>
      </c>
      <c r="O24" s="65">
        <v>11</v>
      </c>
      <c r="P24" s="65">
        <v>11</v>
      </c>
      <c r="Q24" s="24">
        <v>11</v>
      </c>
      <c r="R24" s="24">
        <v>11</v>
      </c>
      <c r="S24" s="24">
        <v>11</v>
      </c>
      <c r="T24" s="24">
        <v>11</v>
      </c>
      <c r="U24" s="24">
        <v>11</v>
      </c>
      <c r="V24" s="65">
        <v>11</v>
      </c>
      <c r="W24" s="65" t="s">
        <v>10</v>
      </c>
      <c r="X24" s="24">
        <v>11</v>
      </c>
      <c r="Y24" s="24">
        <v>11</v>
      </c>
      <c r="Z24" s="24">
        <v>11</v>
      </c>
      <c r="AA24" s="24">
        <v>11</v>
      </c>
      <c r="AB24" s="24">
        <v>11</v>
      </c>
      <c r="AC24" s="65">
        <v>11</v>
      </c>
      <c r="AD24" s="65" t="s">
        <v>10</v>
      </c>
      <c r="AE24" s="24" t="s">
        <v>14</v>
      </c>
      <c r="AF24" s="24" t="s">
        <v>9</v>
      </c>
      <c r="AG24" s="24" t="s">
        <v>9</v>
      </c>
      <c r="AH24" s="9">
        <f t="shared" si="2"/>
        <v>264</v>
      </c>
      <c r="AI24" s="9">
        <f t="shared" si="3"/>
        <v>24</v>
      </c>
    </row>
    <row r="25" spans="1:35" ht="22.9" customHeight="1">
      <c r="A25" s="24">
        <v>88</v>
      </c>
      <c r="B25" s="59" t="s">
        <v>33</v>
      </c>
      <c r="C25" s="13" t="s">
        <v>12</v>
      </c>
      <c r="D25" s="24">
        <v>11</v>
      </c>
      <c r="E25" s="24">
        <v>11</v>
      </c>
      <c r="F25" s="24">
        <v>11</v>
      </c>
      <c r="G25" s="24">
        <v>11</v>
      </c>
      <c r="H25" s="65">
        <v>11</v>
      </c>
      <c r="I25" s="65" t="s">
        <v>6</v>
      </c>
      <c r="J25" s="24">
        <v>11</v>
      </c>
      <c r="K25" s="24">
        <v>11</v>
      </c>
      <c r="L25" s="24">
        <v>11</v>
      </c>
      <c r="M25" s="24">
        <v>11</v>
      </c>
      <c r="N25" s="24">
        <v>11</v>
      </c>
      <c r="O25" s="65">
        <v>11</v>
      </c>
      <c r="P25" s="65">
        <v>11</v>
      </c>
      <c r="Q25" s="24">
        <v>11</v>
      </c>
      <c r="R25" s="24">
        <v>11</v>
      </c>
      <c r="S25" s="24">
        <v>11</v>
      </c>
      <c r="T25" s="24">
        <v>11</v>
      </c>
      <c r="U25" s="24">
        <v>11</v>
      </c>
      <c r="V25" s="65">
        <v>11</v>
      </c>
      <c r="W25" s="65" t="s">
        <v>10</v>
      </c>
      <c r="X25" s="24">
        <v>11</v>
      </c>
      <c r="Y25" s="24">
        <v>11</v>
      </c>
      <c r="Z25" s="24">
        <v>11</v>
      </c>
      <c r="AA25" s="24">
        <v>11</v>
      </c>
      <c r="AB25" s="24">
        <v>11</v>
      </c>
      <c r="AC25" s="65">
        <v>11</v>
      </c>
      <c r="AD25" s="65">
        <v>11</v>
      </c>
      <c r="AE25" s="24">
        <v>11</v>
      </c>
      <c r="AF25" s="24">
        <v>11</v>
      </c>
      <c r="AG25" s="24">
        <v>11</v>
      </c>
      <c r="AH25" s="9">
        <f t="shared" si="2"/>
        <v>308</v>
      </c>
      <c r="AI25" s="9">
        <f t="shared" si="3"/>
        <v>28</v>
      </c>
    </row>
    <row r="26" spans="1:35" ht="22.9" customHeight="1">
      <c r="A26" s="24">
        <v>93</v>
      </c>
      <c r="B26" s="68" t="s">
        <v>34</v>
      </c>
      <c r="C26" s="13" t="s">
        <v>12</v>
      </c>
      <c r="D26" s="24" t="s">
        <v>7</v>
      </c>
      <c r="E26" s="24">
        <v>11</v>
      </c>
      <c r="F26" s="24">
        <v>11</v>
      </c>
      <c r="G26" s="24">
        <v>11</v>
      </c>
      <c r="H26" s="65">
        <v>11</v>
      </c>
      <c r="I26" s="65">
        <v>11</v>
      </c>
      <c r="J26" s="24">
        <v>11</v>
      </c>
      <c r="K26" s="24">
        <v>11</v>
      </c>
      <c r="L26" s="24">
        <v>11</v>
      </c>
      <c r="M26" s="24">
        <v>11</v>
      </c>
      <c r="N26" s="24">
        <v>11</v>
      </c>
      <c r="O26" s="65">
        <v>11</v>
      </c>
      <c r="P26" s="65">
        <v>11</v>
      </c>
      <c r="Q26" s="24">
        <v>11</v>
      </c>
      <c r="R26" s="24">
        <v>11</v>
      </c>
      <c r="S26" s="24">
        <v>11</v>
      </c>
      <c r="T26" s="24">
        <v>11</v>
      </c>
      <c r="U26" s="24">
        <v>11</v>
      </c>
      <c r="V26" s="65">
        <v>11</v>
      </c>
      <c r="W26" s="65">
        <v>11</v>
      </c>
      <c r="X26" s="24">
        <v>11</v>
      </c>
      <c r="Y26" s="24">
        <v>11</v>
      </c>
      <c r="Z26" s="24">
        <v>11</v>
      </c>
      <c r="AA26" s="24">
        <v>11</v>
      </c>
      <c r="AB26" s="24">
        <v>11</v>
      </c>
      <c r="AC26" s="65" t="s">
        <v>10</v>
      </c>
      <c r="AD26" s="65">
        <v>11</v>
      </c>
      <c r="AE26" s="24">
        <v>11</v>
      </c>
      <c r="AF26" s="24">
        <v>11</v>
      </c>
      <c r="AG26" s="24">
        <v>11</v>
      </c>
      <c r="AH26" s="9">
        <f t="shared" si="2"/>
        <v>308</v>
      </c>
      <c r="AI26" s="9">
        <f t="shared" si="3"/>
        <v>28</v>
      </c>
    </row>
    <row r="27" spans="1:35" ht="22.9" customHeight="1">
      <c r="A27" s="24">
        <v>98</v>
      </c>
      <c r="B27" s="68" t="s">
        <v>35</v>
      </c>
      <c r="C27" s="13" t="s">
        <v>12</v>
      </c>
      <c r="D27" s="24">
        <v>11</v>
      </c>
      <c r="E27" s="24">
        <v>11</v>
      </c>
      <c r="F27" s="24">
        <v>11</v>
      </c>
      <c r="G27" s="24">
        <v>11</v>
      </c>
      <c r="H27" s="65" t="s">
        <v>6</v>
      </c>
      <c r="I27" s="65">
        <v>11</v>
      </c>
      <c r="J27" s="24">
        <v>11</v>
      </c>
      <c r="K27" s="24">
        <v>11</v>
      </c>
      <c r="L27" s="24">
        <v>11</v>
      </c>
      <c r="M27" s="24">
        <v>11</v>
      </c>
      <c r="N27" s="24">
        <v>11</v>
      </c>
      <c r="O27" s="65">
        <v>11</v>
      </c>
      <c r="P27" s="65">
        <v>11</v>
      </c>
      <c r="Q27" s="24">
        <v>11</v>
      </c>
      <c r="R27" s="24">
        <v>11</v>
      </c>
      <c r="S27" s="24" t="s">
        <v>7</v>
      </c>
      <c r="T27" s="24">
        <v>11</v>
      </c>
      <c r="U27" s="24">
        <v>11</v>
      </c>
      <c r="V27" s="65">
        <v>11</v>
      </c>
      <c r="W27" s="65">
        <v>11</v>
      </c>
      <c r="X27" s="24">
        <v>11</v>
      </c>
      <c r="Y27" s="24">
        <v>11</v>
      </c>
      <c r="Z27" s="24">
        <v>11</v>
      </c>
      <c r="AA27" s="24">
        <v>11</v>
      </c>
      <c r="AB27" s="24">
        <v>11</v>
      </c>
      <c r="AC27" s="65" t="s">
        <v>10</v>
      </c>
      <c r="AD27" s="65">
        <v>11</v>
      </c>
      <c r="AE27" s="24">
        <v>11</v>
      </c>
      <c r="AF27" s="24">
        <v>11</v>
      </c>
      <c r="AG27" s="24">
        <v>11</v>
      </c>
      <c r="AH27" s="9">
        <f t="shared" si="2"/>
        <v>297</v>
      </c>
      <c r="AI27" s="9">
        <f t="shared" si="3"/>
        <v>27</v>
      </c>
    </row>
  </sheetData>
  <autoFilter ref="A4:AI27" xr:uid="{00000000-0009-0000-0000-000000000000}"/>
  <mergeCells count="6">
    <mergeCell ref="AH1:AH3"/>
    <mergeCell ref="AI1:AI3"/>
    <mergeCell ref="D1:AG2"/>
    <mergeCell ref="A1:A3"/>
    <mergeCell ref="B1:B3"/>
    <mergeCell ref="C1:C3"/>
  </mergeCells>
  <conditionalFormatting sqref="B6:B7">
    <cfRule type="duplicateValues" dxfId="20" priority="610"/>
  </conditionalFormatting>
  <conditionalFormatting sqref="B8">
    <cfRule type="duplicateValues" dxfId="19" priority="25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Q27"/>
  <sheetViews>
    <sheetView zoomScale="50" zoomScaleNormal="50" workbookViewId="0">
      <selection activeCell="C1" sqref="C1:C1048576"/>
    </sheetView>
  </sheetViews>
  <sheetFormatPr defaultColWidth="8.85546875" defaultRowHeight="20.25"/>
  <cols>
    <col min="1" max="1" width="8.85546875" style="14"/>
    <col min="2" max="2" width="66.28515625" style="14" customWidth="1"/>
    <col min="3" max="3" width="21.42578125" style="14" customWidth="1"/>
    <col min="4" max="34" width="4.7109375" style="58" customWidth="1"/>
    <col min="35" max="35" width="11.140625" style="14" customWidth="1"/>
    <col min="36" max="36" width="12.42578125" style="14" customWidth="1"/>
    <col min="37" max="37" width="47.7109375" style="14" customWidth="1"/>
    <col min="38" max="16384" width="8.85546875" style="14"/>
  </cols>
  <sheetData>
    <row r="1" spans="1:36" ht="14.45" customHeight="1">
      <c r="A1" s="78" t="s">
        <v>0</v>
      </c>
      <c r="B1" s="79" t="s">
        <v>1</v>
      </c>
      <c r="C1" s="80" t="s">
        <v>2</v>
      </c>
      <c r="D1" s="83" t="s">
        <v>36</v>
      </c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5"/>
      <c r="AI1" s="81" t="s">
        <v>4</v>
      </c>
      <c r="AJ1" s="81" t="s">
        <v>5</v>
      </c>
    </row>
    <row r="2" spans="1:36" ht="14.45" customHeight="1">
      <c r="A2" s="78"/>
      <c r="B2" s="79"/>
      <c r="C2" s="80"/>
      <c r="D2" s="86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8"/>
      <c r="AI2" s="82"/>
      <c r="AJ2" s="82"/>
    </row>
    <row r="3" spans="1:36">
      <c r="A3" s="78"/>
      <c r="B3" s="79"/>
      <c r="C3" s="80"/>
      <c r="D3" s="34">
        <v>1</v>
      </c>
      <c r="E3" s="34">
        <v>2</v>
      </c>
      <c r="F3" s="34">
        <v>3</v>
      </c>
      <c r="G3" s="34">
        <v>4</v>
      </c>
      <c r="H3" s="15">
        <v>5</v>
      </c>
      <c r="I3" s="15">
        <v>6</v>
      </c>
      <c r="J3" s="15">
        <v>7</v>
      </c>
      <c r="K3" s="34">
        <v>8</v>
      </c>
      <c r="L3" s="34">
        <v>9</v>
      </c>
      <c r="M3" s="34">
        <v>10</v>
      </c>
      <c r="N3" s="34">
        <v>11</v>
      </c>
      <c r="O3" s="15">
        <v>12</v>
      </c>
      <c r="P3" s="54">
        <v>13</v>
      </c>
      <c r="Q3" s="15">
        <v>14</v>
      </c>
      <c r="R3" s="15">
        <v>15</v>
      </c>
      <c r="S3" s="15">
        <v>16</v>
      </c>
      <c r="T3" s="34">
        <v>17</v>
      </c>
      <c r="U3" s="34">
        <v>18</v>
      </c>
      <c r="V3" s="15">
        <v>19</v>
      </c>
      <c r="W3" s="15">
        <v>20</v>
      </c>
      <c r="X3" s="15">
        <v>21</v>
      </c>
      <c r="Y3" s="15">
        <v>22</v>
      </c>
      <c r="Z3" s="15">
        <v>23</v>
      </c>
      <c r="AA3" s="34">
        <v>24</v>
      </c>
      <c r="AB3" s="34">
        <v>25</v>
      </c>
      <c r="AC3" s="15">
        <v>26</v>
      </c>
      <c r="AD3" s="15">
        <v>27</v>
      </c>
      <c r="AE3" s="15">
        <v>28</v>
      </c>
      <c r="AF3" s="15">
        <v>29</v>
      </c>
      <c r="AG3" s="15">
        <v>30</v>
      </c>
      <c r="AH3" s="34">
        <v>31</v>
      </c>
      <c r="AI3" s="82"/>
      <c r="AJ3" s="82"/>
    </row>
    <row r="4" spans="1:36" ht="27" customHeight="1">
      <c r="A4" s="1"/>
      <c r="B4" s="2"/>
      <c r="C4" s="3"/>
      <c r="D4" s="35"/>
      <c r="E4" s="35"/>
      <c r="F4" s="35"/>
      <c r="G4" s="35"/>
      <c r="H4" s="19"/>
      <c r="I4" s="19"/>
      <c r="J4" s="19"/>
      <c r="K4" s="35"/>
      <c r="L4" s="35"/>
      <c r="M4" s="35"/>
      <c r="N4" s="35"/>
      <c r="O4" s="19"/>
      <c r="P4" s="24"/>
      <c r="Q4" s="19"/>
      <c r="R4" s="19"/>
      <c r="S4" s="19"/>
      <c r="T4" s="35"/>
      <c r="U4" s="35"/>
      <c r="V4" s="19"/>
      <c r="W4" s="19"/>
      <c r="X4" s="19"/>
      <c r="Y4" s="19"/>
      <c r="Z4" s="19"/>
      <c r="AA4" s="35"/>
      <c r="AB4" s="35"/>
      <c r="AC4" s="19"/>
      <c r="AD4" s="19"/>
      <c r="AE4" s="19"/>
      <c r="AF4" s="19"/>
      <c r="AG4" s="19"/>
      <c r="AH4" s="35"/>
      <c r="AI4" s="16"/>
      <c r="AJ4" s="16"/>
    </row>
    <row r="5" spans="1:36" ht="22.15" customHeight="1">
      <c r="A5" s="24">
        <v>5</v>
      </c>
      <c r="B5" s="60" t="s">
        <v>11</v>
      </c>
      <c r="C5" s="13" t="s">
        <v>12</v>
      </c>
      <c r="D5" s="50" t="s">
        <v>9</v>
      </c>
      <c r="E5" s="50" t="s">
        <v>9</v>
      </c>
      <c r="F5" s="50" t="s">
        <v>9</v>
      </c>
      <c r="G5" s="50" t="s">
        <v>9</v>
      </c>
      <c r="H5" s="24" t="s">
        <v>9</v>
      </c>
      <c r="I5" s="24" t="s">
        <v>9</v>
      </c>
      <c r="J5" s="24" t="s">
        <v>9</v>
      </c>
      <c r="K5" s="51" t="s">
        <v>9</v>
      </c>
      <c r="L5" s="51" t="s">
        <v>9</v>
      </c>
      <c r="M5" s="51" t="s">
        <v>9</v>
      </c>
      <c r="N5" s="51" t="s">
        <v>9</v>
      </c>
      <c r="O5" s="24" t="s">
        <v>9</v>
      </c>
      <c r="P5" s="24" t="s">
        <v>9</v>
      </c>
      <c r="Q5" s="24" t="s">
        <v>9</v>
      </c>
      <c r="R5" s="24" t="s">
        <v>9</v>
      </c>
      <c r="S5" s="24" t="s">
        <v>9</v>
      </c>
      <c r="T5" s="51" t="s">
        <v>9</v>
      </c>
      <c r="U5" s="51" t="s">
        <v>14</v>
      </c>
      <c r="V5" s="24">
        <v>11</v>
      </c>
      <c r="W5" s="24">
        <v>11</v>
      </c>
      <c r="X5" s="24">
        <v>11</v>
      </c>
      <c r="Y5" s="24">
        <v>11</v>
      </c>
      <c r="Z5" s="24">
        <v>11</v>
      </c>
      <c r="AA5" s="51">
        <v>11</v>
      </c>
      <c r="AB5" s="51">
        <v>11</v>
      </c>
      <c r="AC5" s="24">
        <v>11</v>
      </c>
      <c r="AD5" s="24">
        <v>11</v>
      </c>
      <c r="AE5" s="24">
        <v>11</v>
      </c>
      <c r="AF5" s="24">
        <v>11</v>
      </c>
      <c r="AG5" s="24">
        <v>11</v>
      </c>
      <c r="AH5" s="51">
        <v>11</v>
      </c>
      <c r="AI5" s="9">
        <f t="shared" ref="AI5:AI20" si="0">SUM(D5:AH5)</f>
        <v>143</v>
      </c>
      <c r="AJ5" s="9">
        <f t="shared" ref="AJ5:AJ20" si="1">COUNT(D5:AH5)</f>
        <v>13</v>
      </c>
    </row>
    <row r="6" spans="1:36" ht="22.15" customHeight="1">
      <c r="A6" s="24">
        <v>8</v>
      </c>
      <c r="B6" s="60" t="s">
        <v>13</v>
      </c>
      <c r="C6" s="13" t="s">
        <v>12</v>
      </c>
      <c r="D6" s="50" t="s">
        <v>9</v>
      </c>
      <c r="E6" s="50" t="s">
        <v>9</v>
      </c>
      <c r="F6" s="50" t="s">
        <v>9</v>
      </c>
      <c r="G6" s="50" t="s">
        <v>9</v>
      </c>
      <c r="H6" s="24" t="s">
        <v>9</v>
      </c>
      <c r="I6" s="24" t="s">
        <v>9</v>
      </c>
      <c r="J6" s="24" t="s">
        <v>9</v>
      </c>
      <c r="K6" s="51" t="s">
        <v>9</v>
      </c>
      <c r="L6" s="51" t="s">
        <v>9</v>
      </c>
      <c r="M6" s="51" t="s">
        <v>9</v>
      </c>
      <c r="N6" s="51" t="s">
        <v>9</v>
      </c>
      <c r="O6" s="24" t="s">
        <v>9</v>
      </c>
      <c r="P6" s="24" t="s">
        <v>9</v>
      </c>
      <c r="Q6" s="24" t="s">
        <v>9</v>
      </c>
      <c r="R6" s="24" t="s">
        <v>9</v>
      </c>
      <c r="S6" s="24" t="s">
        <v>9</v>
      </c>
      <c r="T6" s="51" t="s">
        <v>9</v>
      </c>
      <c r="U6" s="51" t="s">
        <v>9</v>
      </c>
      <c r="V6" s="24" t="s">
        <v>9</v>
      </c>
      <c r="W6" s="24" t="s">
        <v>9</v>
      </c>
      <c r="X6" s="24" t="s">
        <v>9</v>
      </c>
      <c r="Y6" s="24" t="s">
        <v>9</v>
      </c>
      <c r="Z6" s="24" t="s">
        <v>9</v>
      </c>
      <c r="AA6" s="51" t="s">
        <v>9</v>
      </c>
      <c r="AB6" s="51" t="s">
        <v>9</v>
      </c>
      <c r="AC6" s="24" t="s">
        <v>9</v>
      </c>
      <c r="AD6" s="24" t="s">
        <v>9</v>
      </c>
      <c r="AE6" s="24" t="s">
        <v>9</v>
      </c>
      <c r="AF6" s="24" t="s">
        <v>9</v>
      </c>
      <c r="AG6" s="24" t="s">
        <v>9</v>
      </c>
      <c r="AH6" s="51" t="s">
        <v>9</v>
      </c>
      <c r="AI6" s="9">
        <f t="shared" si="0"/>
        <v>0</v>
      </c>
      <c r="AJ6" s="9">
        <f t="shared" si="1"/>
        <v>0</v>
      </c>
    </row>
    <row r="7" spans="1:36" ht="22.15" customHeight="1">
      <c r="A7" s="24">
        <v>10</v>
      </c>
      <c r="B7" s="59" t="s">
        <v>15</v>
      </c>
      <c r="C7" s="13" t="s">
        <v>12</v>
      </c>
      <c r="D7" s="50" t="s">
        <v>9</v>
      </c>
      <c r="E7" s="50" t="s">
        <v>9</v>
      </c>
      <c r="F7" s="50" t="s">
        <v>9</v>
      </c>
      <c r="G7" s="50" t="s">
        <v>9</v>
      </c>
      <c r="H7" s="24" t="s">
        <v>9</v>
      </c>
      <c r="I7" s="24" t="s">
        <v>9</v>
      </c>
      <c r="J7" s="24" t="s">
        <v>9</v>
      </c>
      <c r="K7" s="51" t="s">
        <v>9</v>
      </c>
      <c r="L7" s="51" t="s">
        <v>9</v>
      </c>
      <c r="M7" s="51" t="s">
        <v>9</v>
      </c>
      <c r="N7" s="51" t="s">
        <v>9</v>
      </c>
      <c r="O7" s="24" t="s">
        <v>9</v>
      </c>
      <c r="P7" s="24" t="s">
        <v>9</v>
      </c>
      <c r="Q7" s="24" t="s">
        <v>9</v>
      </c>
      <c r="R7" s="24" t="s">
        <v>9</v>
      </c>
      <c r="S7" s="24" t="s">
        <v>9</v>
      </c>
      <c r="T7" s="51" t="s">
        <v>9</v>
      </c>
      <c r="U7" s="51" t="s">
        <v>9</v>
      </c>
      <c r="V7" s="24" t="s">
        <v>9</v>
      </c>
      <c r="W7" s="24" t="s">
        <v>9</v>
      </c>
      <c r="X7" s="24" t="s">
        <v>9</v>
      </c>
      <c r="Y7" s="24" t="s">
        <v>9</v>
      </c>
      <c r="Z7" s="24" t="s">
        <v>9</v>
      </c>
      <c r="AA7" s="51" t="s">
        <v>9</v>
      </c>
      <c r="AB7" s="51" t="s">
        <v>9</v>
      </c>
      <c r="AC7" s="24" t="s">
        <v>9</v>
      </c>
      <c r="AD7" s="24" t="s">
        <v>9</v>
      </c>
      <c r="AE7" s="24" t="s">
        <v>9</v>
      </c>
      <c r="AF7" s="24" t="s">
        <v>9</v>
      </c>
      <c r="AG7" s="24" t="s">
        <v>9</v>
      </c>
      <c r="AH7" s="51" t="s">
        <v>9</v>
      </c>
      <c r="AI7" s="9">
        <f t="shared" si="0"/>
        <v>0</v>
      </c>
      <c r="AJ7" s="9">
        <f t="shared" si="1"/>
        <v>0</v>
      </c>
    </row>
    <row r="8" spans="1:36" ht="22.15" customHeight="1">
      <c r="A8" s="24">
        <v>19</v>
      </c>
      <c r="B8" s="60" t="s">
        <v>16</v>
      </c>
      <c r="C8" s="61" t="s">
        <v>12</v>
      </c>
      <c r="D8" s="50">
        <v>11</v>
      </c>
      <c r="E8" s="50">
        <v>11</v>
      </c>
      <c r="F8" s="50">
        <v>11</v>
      </c>
      <c r="G8" s="50" t="s">
        <v>10</v>
      </c>
      <c r="H8" s="13">
        <v>11</v>
      </c>
      <c r="I8" s="13">
        <v>11</v>
      </c>
      <c r="J8" s="13">
        <v>11</v>
      </c>
      <c r="K8" s="50">
        <v>11</v>
      </c>
      <c r="L8" s="50" t="s">
        <v>10</v>
      </c>
      <c r="M8" s="50">
        <v>11</v>
      </c>
      <c r="N8" s="50">
        <v>11</v>
      </c>
      <c r="O8" s="13">
        <v>11</v>
      </c>
      <c r="P8" s="13">
        <v>11</v>
      </c>
      <c r="Q8" s="24">
        <v>11</v>
      </c>
      <c r="R8" s="24">
        <v>11</v>
      </c>
      <c r="S8" s="13">
        <v>11</v>
      </c>
      <c r="T8" s="50">
        <v>11</v>
      </c>
      <c r="U8" s="50" t="s">
        <v>10</v>
      </c>
      <c r="V8" s="13">
        <v>11</v>
      </c>
      <c r="W8" s="13">
        <v>11</v>
      </c>
      <c r="X8" s="13">
        <v>11</v>
      </c>
      <c r="Y8" s="13">
        <v>11</v>
      </c>
      <c r="Z8" s="13">
        <v>11</v>
      </c>
      <c r="AA8" s="50">
        <v>11</v>
      </c>
      <c r="AB8" s="50" t="s">
        <v>10</v>
      </c>
      <c r="AC8" s="13">
        <v>11</v>
      </c>
      <c r="AD8" s="13">
        <v>11</v>
      </c>
      <c r="AE8" s="13">
        <v>11</v>
      </c>
      <c r="AF8" s="13">
        <v>11</v>
      </c>
      <c r="AG8" s="13">
        <v>11</v>
      </c>
      <c r="AH8" s="50">
        <v>11</v>
      </c>
      <c r="AI8" s="9">
        <f t="shared" si="0"/>
        <v>297</v>
      </c>
      <c r="AJ8" s="9">
        <f t="shared" si="1"/>
        <v>27</v>
      </c>
    </row>
    <row r="9" spans="1:36" ht="22.15" customHeight="1">
      <c r="A9" s="24">
        <v>23</v>
      </c>
      <c r="B9" s="63" t="s">
        <v>17</v>
      </c>
      <c r="C9" s="61" t="s">
        <v>12</v>
      </c>
      <c r="D9" s="50" t="s">
        <v>14</v>
      </c>
      <c r="E9" s="50" t="s">
        <v>10</v>
      </c>
      <c r="F9" s="50" t="s">
        <v>10</v>
      </c>
      <c r="G9" s="50" t="s">
        <v>10</v>
      </c>
      <c r="H9" s="13">
        <v>11</v>
      </c>
      <c r="I9" s="13">
        <v>11</v>
      </c>
      <c r="J9" s="13">
        <v>11</v>
      </c>
      <c r="K9" s="50">
        <v>11</v>
      </c>
      <c r="L9" s="50" t="s">
        <v>10</v>
      </c>
      <c r="M9" s="50">
        <v>11</v>
      </c>
      <c r="N9" s="51" t="s">
        <v>10</v>
      </c>
      <c r="O9" s="24">
        <v>11</v>
      </c>
      <c r="P9" s="24" t="s">
        <v>7</v>
      </c>
      <c r="Q9" s="24">
        <v>11</v>
      </c>
      <c r="R9" s="24">
        <v>11</v>
      </c>
      <c r="S9" s="13">
        <v>11</v>
      </c>
      <c r="T9" s="50">
        <v>11</v>
      </c>
      <c r="U9" s="50" t="s">
        <v>10</v>
      </c>
      <c r="V9" s="13">
        <v>11</v>
      </c>
      <c r="W9" s="13">
        <v>11</v>
      </c>
      <c r="X9" s="24">
        <v>11</v>
      </c>
      <c r="Y9" s="24">
        <v>11</v>
      </c>
      <c r="Z9" s="24">
        <v>11</v>
      </c>
      <c r="AA9" s="51">
        <v>11</v>
      </c>
      <c r="AB9" s="51">
        <v>11</v>
      </c>
      <c r="AC9" s="24">
        <v>11</v>
      </c>
      <c r="AD9" s="24">
        <v>11</v>
      </c>
      <c r="AE9" s="24">
        <v>11</v>
      </c>
      <c r="AF9" s="24">
        <v>11</v>
      </c>
      <c r="AG9" s="24">
        <v>11</v>
      </c>
      <c r="AH9" s="51">
        <v>11</v>
      </c>
      <c r="AI9" s="9">
        <f t="shared" si="0"/>
        <v>253</v>
      </c>
      <c r="AJ9" s="9">
        <f t="shared" si="1"/>
        <v>23</v>
      </c>
    </row>
    <row r="10" spans="1:36" ht="22.15" customHeight="1">
      <c r="A10" s="24">
        <v>33</v>
      </c>
      <c r="B10" s="59" t="s">
        <v>18</v>
      </c>
      <c r="C10" s="61" t="s">
        <v>12</v>
      </c>
      <c r="D10" s="50">
        <v>11</v>
      </c>
      <c r="E10" s="50">
        <v>11</v>
      </c>
      <c r="F10" s="50">
        <v>11</v>
      </c>
      <c r="G10" s="50" t="s">
        <v>10</v>
      </c>
      <c r="H10" s="13">
        <v>11</v>
      </c>
      <c r="I10" s="13">
        <v>11</v>
      </c>
      <c r="J10" s="13">
        <v>11</v>
      </c>
      <c r="K10" s="50">
        <v>11</v>
      </c>
      <c r="L10" s="50" t="s">
        <v>10</v>
      </c>
      <c r="M10" s="50">
        <v>11</v>
      </c>
      <c r="N10" s="50">
        <v>11</v>
      </c>
      <c r="O10" s="13">
        <v>11</v>
      </c>
      <c r="P10" s="13">
        <v>11</v>
      </c>
      <c r="Q10" s="13">
        <v>11</v>
      </c>
      <c r="R10" s="13">
        <v>11</v>
      </c>
      <c r="S10" s="13">
        <v>11</v>
      </c>
      <c r="T10" s="50">
        <v>11</v>
      </c>
      <c r="U10" s="50">
        <v>11</v>
      </c>
      <c r="V10" s="13">
        <v>11</v>
      </c>
      <c r="W10" s="13">
        <v>11</v>
      </c>
      <c r="X10" s="13">
        <v>11</v>
      </c>
      <c r="Y10" s="13">
        <v>11</v>
      </c>
      <c r="Z10" s="13">
        <v>11</v>
      </c>
      <c r="AA10" s="50">
        <v>11</v>
      </c>
      <c r="AB10" s="50">
        <v>11</v>
      </c>
      <c r="AC10" s="13">
        <v>11</v>
      </c>
      <c r="AD10" s="13">
        <v>11</v>
      </c>
      <c r="AE10" s="13">
        <v>11</v>
      </c>
      <c r="AF10" s="13">
        <v>11</v>
      </c>
      <c r="AG10" s="13">
        <v>11</v>
      </c>
      <c r="AH10" s="50">
        <v>11</v>
      </c>
      <c r="AI10" s="9">
        <f t="shared" si="0"/>
        <v>319</v>
      </c>
      <c r="AJ10" s="9">
        <f t="shared" si="1"/>
        <v>29</v>
      </c>
    </row>
    <row r="11" spans="1:36" ht="22.15" customHeight="1">
      <c r="A11" s="24">
        <v>35</v>
      </c>
      <c r="B11" s="63" t="s">
        <v>19</v>
      </c>
      <c r="C11" s="61" t="s">
        <v>12</v>
      </c>
      <c r="D11" s="50">
        <v>11</v>
      </c>
      <c r="E11" s="50">
        <v>11</v>
      </c>
      <c r="F11" s="50" t="s">
        <v>7</v>
      </c>
      <c r="G11" s="50" t="s">
        <v>7</v>
      </c>
      <c r="H11" s="13" t="s">
        <v>7</v>
      </c>
      <c r="I11" s="13" t="s">
        <v>7</v>
      </c>
      <c r="J11" s="13" t="s">
        <v>7</v>
      </c>
      <c r="K11" s="50" t="s">
        <v>7</v>
      </c>
      <c r="L11" s="50" t="s">
        <v>7</v>
      </c>
      <c r="M11" s="50" t="s">
        <v>7</v>
      </c>
      <c r="N11" s="50" t="s">
        <v>7</v>
      </c>
      <c r="O11" s="13" t="s">
        <v>7</v>
      </c>
      <c r="P11" s="13">
        <v>11</v>
      </c>
      <c r="Q11" s="13">
        <v>11</v>
      </c>
      <c r="R11" s="13">
        <v>11</v>
      </c>
      <c r="S11" s="13">
        <v>11</v>
      </c>
      <c r="T11" s="50">
        <v>11</v>
      </c>
      <c r="U11" s="50" t="s">
        <v>10</v>
      </c>
      <c r="V11" s="13" t="s">
        <v>7</v>
      </c>
      <c r="W11" s="13" t="s">
        <v>7</v>
      </c>
      <c r="X11" s="13" t="s">
        <v>7</v>
      </c>
      <c r="Y11" s="13" t="s">
        <v>7</v>
      </c>
      <c r="Z11" s="13">
        <v>11</v>
      </c>
      <c r="AA11" s="50">
        <v>11</v>
      </c>
      <c r="AB11" s="50">
        <v>11</v>
      </c>
      <c r="AC11" s="13">
        <v>11</v>
      </c>
      <c r="AD11" s="13">
        <v>11</v>
      </c>
      <c r="AE11" s="13">
        <v>11</v>
      </c>
      <c r="AF11" s="13">
        <v>11</v>
      </c>
      <c r="AG11" s="13">
        <v>11</v>
      </c>
      <c r="AH11" s="50">
        <v>11</v>
      </c>
      <c r="AI11" s="9">
        <f t="shared" si="0"/>
        <v>176</v>
      </c>
      <c r="AJ11" s="9">
        <f t="shared" si="1"/>
        <v>16</v>
      </c>
    </row>
    <row r="12" spans="1:36" ht="22.15" customHeight="1">
      <c r="A12" s="24">
        <v>40</v>
      </c>
      <c r="B12" s="63" t="s">
        <v>20</v>
      </c>
      <c r="C12" s="13" t="s">
        <v>12</v>
      </c>
      <c r="D12" s="50" t="s">
        <v>14</v>
      </c>
      <c r="E12" s="50" t="s">
        <v>10</v>
      </c>
      <c r="F12" s="50">
        <v>11</v>
      </c>
      <c r="G12" s="50" t="s">
        <v>10</v>
      </c>
      <c r="H12" s="13">
        <v>11</v>
      </c>
      <c r="I12" s="13">
        <v>11</v>
      </c>
      <c r="J12" s="13">
        <v>11</v>
      </c>
      <c r="K12" s="50">
        <v>11</v>
      </c>
      <c r="L12" s="50" t="s">
        <v>10</v>
      </c>
      <c r="M12" s="50">
        <v>11</v>
      </c>
      <c r="N12" s="51">
        <v>11</v>
      </c>
      <c r="O12" s="24">
        <v>11</v>
      </c>
      <c r="P12" s="24">
        <v>11</v>
      </c>
      <c r="Q12" s="24">
        <v>11</v>
      </c>
      <c r="R12" s="24">
        <v>11</v>
      </c>
      <c r="S12" s="24">
        <v>11</v>
      </c>
      <c r="T12" s="51">
        <v>11</v>
      </c>
      <c r="U12" s="51" t="s">
        <v>10</v>
      </c>
      <c r="V12" s="13">
        <v>11</v>
      </c>
      <c r="W12" s="13">
        <v>11</v>
      </c>
      <c r="X12" s="13">
        <v>11</v>
      </c>
      <c r="Y12" s="13">
        <v>11</v>
      </c>
      <c r="Z12" s="13">
        <v>11</v>
      </c>
      <c r="AA12" s="50">
        <v>11</v>
      </c>
      <c r="AB12" s="50">
        <v>11</v>
      </c>
      <c r="AC12" s="13">
        <v>11</v>
      </c>
      <c r="AD12" s="13">
        <v>11</v>
      </c>
      <c r="AE12" s="24">
        <v>11</v>
      </c>
      <c r="AF12" s="13">
        <v>11</v>
      </c>
      <c r="AG12" s="13">
        <v>11</v>
      </c>
      <c r="AH12" s="50">
        <v>11</v>
      </c>
      <c r="AI12" s="9">
        <f t="shared" si="0"/>
        <v>286</v>
      </c>
      <c r="AJ12" s="9">
        <f t="shared" si="1"/>
        <v>26</v>
      </c>
    </row>
    <row r="13" spans="1:36" ht="22.15" customHeight="1">
      <c r="A13" s="24">
        <v>41</v>
      </c>
      <c r="B13" s="59" t="s">
        <v>21</v>
      </c>
      <c r="C13" s="13" t="s">
        <v>12</v>
      </c>
      <c r="D13" s="50" t="s">
        <v>9</v>
      </c>
      <c r="E13" s="50" t="s">
        <v>9</v>
      </c>
      <c r="F13" s="50" t="s">
        <v>9</v>
      </c>
      <c r="G13" s="50" t="s">
        <v>9</v>
      </c>
      <c r="H13" s="13" t="s">
        <v>9</v>
      </c>
      <c r="I13" s="13" t="s">
        <v>9</v>
      </c>
      <c r="J13" s="13" t="s">
        <v>9</v>
      </c>
      <c r="K13" s="50" t="s">
        <v>9</v>
      </c>
      <c r="L13" s="50" t="s">
        <v>9</v>
      </c>
      <c r="M13" s="50" t="s">
        <v>9</v>
      </c>
      <c r="N13" s="50" t="s">
        <v>9</v>
      </c>
      <c r="O13" s="13" t="s">
        <v>9</v>
      </c>
      <c r="P13" s="13" t="s">
        <v>9</v>
      </c>
      <c r="Q13" s="13" t="s">
        <v>9</v>
      </c>
      <c r="R13" s="13" t="s">
        <v>9</v>
      </c>
      <c r="S13" s="13" t="s">
        <v>9</v>
      </c>
      <c r="T13" s="50" t="s">
        <v>9</v>
      </c>
      <c r="U13" s="50" t="s">
        <v>9</v>
      </c>
      <c r="V13" s="13" t="s">
        <v>9</v>
      </c>
      <c r="W13" s="13" t="s">
        <v>9</v>
      </c>
      <c r="X13" s="13" t="s">
        <v>9</v>
      </c>
      <c r="Y13" s="13" t="s">
        <v>9</v>
      </c>
      <c r="Z13" s="13" t="s">
        <v>9</v>
      </c>
      <c r="AA13" s="50" t="s">
        <v>9</v>
      </c>
      <c r="AB13" s="50" t="s">
        <v>9</v>
      </c>
      <c r="AC13" s="13" t="s">
        <v>9</v>
      </c>
      <c r="AD13" s="13" t="s">
        <v>9</v>
      </c>
      <c r="AE13" s="13" t="s">
        <v>9</v>
      </c>
      <c r="AF13" s="13" t="s">
        <v>9</v>
      </c>
      <c r="AG13" s="13" t="s">
        <v>9</v>
      </c>
      <c r="AH13" s="50" t="s">
        <v>9</v>
      </c>
      <c r="AI13" s="9">
        <f t="shared" si="0"/>
        <v>0</v>
      </c>
      <c r="AJ13" s="9">
        <f t="shared" si="1"/>
        <v>0</v>
      </c>
    </row>
    <row r="14" spans="1:36" ht="22.15" customHeight="1">
      <c r="A14" s="24">
        <v>42</v>
      </c>
      <c r="B14" s="59" t="s">
        <v>22</v>
      </c>
      <c r="C14" s="13" t="s">
        <v>12</v>
      </c>
      <c r="D14" s="50">
        <v>11</v>
      </c>
      <c r="E14" s="50">
        <v>11</v>
      </c>
      <c r="F14" s="50">
        <v>11</v>
      </c>
      <c r="G14" s="50" t="s">
        <v>10</v>
      </c>
      <c r="H14" s="13">
        <v>11</v>
      </c>
      <c r="I14" s="13">
        <v>11</v>
      </c>
      <c r="J14" s="13">
        <v>11</v>
      </c>
      <c r="K14" s="50">
        <v>11</v>
      </c>
      <c r="L14" s="50" t="s">
        <v>10</v>
      </c>
      <c r="M14" s="50">
        <v>11</v>
      </c>
      <c r="N14" s="50">
        <v>11</v>
      </c>
      <c r="O14" s="13">
        <v>11</v>
      </c>
      <c r="P14" s="13">
        <v>11</v>
      </c>
      <c r="Q14" s="13">
        <v>11</v>
      </c>
      <c r="R14" s="13">
        <v>11</v>
      </c>
      <c r="S14" s="13">
        <v>11</v>
      </c>
      <c r="T14" s="50">
        <v>11</v>
      </c>
      <c r="U14" s="50">
        <v>11</v>
      </c>
      <c r="V14" s="13">
        <v>11</v>
      </c>
      <c r="W14" s="13">
        <v>11</v>
      </c>
      <c r="X14" s="13">
        <v>11</v>
      </c>
      <c r="Y14" s="13">
        <v>11</v>
      </c>
      <c r="Z14" s="13">
        <v>11</v>
      </c>
      <c r="AA14" s="50">
        <v>11</v>
      </c>
      <c r="AB14" s="50" t="s">
        <v>10</v>
      </c>
      <c r="AC14" s="13">
        <v>11</v>
      </c>
      <c r="AD14" s="13">
        <v>11</v>
      </c>
      <c r="AE14" s="13">
        <v>11</v>
      </c>
      <c r="AF14" s="13">
        <v>11</v>
      </c>
      <c r="AG14" s="13">
        <v>11</v>
      </c>
      <c r="AH14" s="50" t="s">
        <v>14</v>
      </c>
      <c r="AI14" s="9">
        <f t="shared" si="0"/>
        <v>297</v>
      </c>
      <c r="AJ14" s="9">
        <f t="shared" si="1"/>
        <v>27</v>
      </c>
    </row>
    <row r="15" spans="1:36" ht="22.15" customHeight="1">
      <c r="A15" s="24">
        <v>43</v>
      </c>
      <c r="B15" s="60" t="s">
        <v>23</v>
      </c>
      <c r="C15" s="61" t="s">
        <v>12</v>
      </c>
      <c r="D15" s="50">
        <v>11</v>
      </c>
      <c r="E15" s="50">
        <v>11</v>
      </c>
      <c r="F15" s="50">
        <v>11</v>
      </c>
      <c r="G15" s="50">
        <v>11</v>
      </c>
      <c r="H15" s="13">
        <v>11</v>
      </c>
      <c r="I15" s="13">
        <v>11</v>
      </c>
      <c r="J15" s="13">
        <v>11</v>
      </c>
      <c r="K15" s="50">
        <v>11</v>
      </c>
      <c r="L15" s="50" t="s">
        <v>10</v>
      </c>
      <c r="M15" s="50">
        <v>11</v>
      </c>
      <c r="N15" s="50">
        <v>11</v>
      </c>
      <c r="O15" s="13">
        <v>11</v>
      </c>
      <c r="P15" s="13">
        <v>11</v>
      </c>
      <c r="Q15" s="13">
        <v>11</v>
      </c>
      <c r="R15" s="13">
        <v>11</v>
      </c>
      <c r="S15" s="13">
        <v>11</v>
      </c>
      <c r="T15" s="50">
        <v>11</v>
      </c>
      <c r="U15" s="50" t="s">
        <v>14</v>
      </c>
      <c r="V15" s="13" t="s">
        <v>9</v>
      </c>
      <c r="W15" s="13" t="s">
        <v>9</v>
      </c>
      <c r="X15" s="13" t="s">
        <v>9</v>
      </c>
      <c r="Y15" s="13" t="s">
        <v>9</v>
      </c>
      <c r="Z15" s="13" t="s">
        <v>9</v>
      </c>
      <c r="AA15" s="50" t="s">
        <v>9</v>
      </c>
      <c r="AB15" s="50" t="s">
        <v>9</v>
      </c>
      <c r="AC15" s="13" t="s">
        <v>9</v>
      </c>
      <c r="AD15" s="13" t="s">
        <v>9</v>
      </c>
      <c r="AE15" s="13" t="s">
        <v>9</v>
      </c>
      <c r="AF15" s="13" t="s">
        <v>9</v>
      </c>
      <c r="AG15" s="13" t="s">
        <v>9</v>
      </c>
      <c r="AH15" s="50" t="s">
        <v>9</v>
      </c>
      <c r="AI15" s="9">
        <f t="shared" si="0"/>
        <v>176</v>
      </c>
      <c r="AJ15" s="9">
        <f t="shared" si="1"/>
        <v>16</v>
      </c>
    </row>
    <row r="16" spans="1:36" ht="22.15" customHeight="1">
      <c r="A16" s="24">
        <v>46</v>
      </c>
      <c r="B16" s="59" t="s">
        <v>24</v>
      </c>
      <c r="C16" s="13" t="s">
        <v>12</v>
      </c>
      <c r="D16" s="50">
        <v>11</v>
      </c>
      <c r="E16" s="50">
        <v>11</v>
      </c>
      <c r="F16" s="50">
        <v>11</v>
      </c>
      <c r="G16" s="50">
        <v>11</v>
      </c>
      <c r="H16" s="13">
        <v>11</v>
      </c>
      <c r="I16" s="13">
        <v>11</v>
      </c>
      <c r="J16" s="13">
        <v>11</v>
      </c>
      <c r="K16" s="50" t="s">
        <v>10</v>
      </c>
      <c r="L16" s="51" t="s">
        <v>10</v>
      </c>
      <c r="M16" s="51" t="s">
        <v>10</v>
      </c>
      <c r="N16" s="51" t="s">
        <v>10</v>
      </c>
      <c r="O16" s="24">
        <v>11</v>
      </c>
      <c r="P16" s="24">
        <v>11</v>
      </c>
      <c r="Q16" s="24">
        <v>11</v>
      </c>
      <c r="R16" s="24">
        <v>11</v>
      </c>
      <c r="S16" s="24">
        <v>11</v>
      </c>
      <c r="T16" s="51">
        <v>11</v>
      </c>
      <c r="U16" s="51">
        <v>11</v>
      </c>
      <c r="V16" s="13">
        <v>11</v>
      </c>
      <c r="W16" s="13">
        <v>11</v>
      </c>
      <c r="X16" s="13">
        <v>11</v>
      </c>
      <c r="Y16" s="13">
        <v>11</v>
      </c>
      <c r="Z16" s="13">
        <v>11</v>
      </c>
      <c r="AA16" s="50" t="s">
        <v>10</v>
      </c>
      <c r="AB16" s="50" t="s">
        <v>10</v>
      </c>
      <c r="AC16" s="13">
        <v>11</v>
      </c>
      <c r="AD16" s="13">
        <v>11</v>
      </c>
      <c r="AE16" s="13">
        <v>11</v>
      </c>
      <c r="AF16" s="13">
        <v>11</v>
      </c>
      <c r="AG16" s="13">
        <v>11</v>
      </c>
      <c r="AH16" s="50">
        <v>11</v>
      </c>
      <c r="AI16" s="9">
        <f t="shared" si="0"/>
        <v>275</v>
      </c>
      <c r="AJ16" s="9">
        <f t="shared" si="1"/>
        <v>25</v>
      </c>
    </row>
    <row r="17" spans="1:36" ht="22.15" customHeight="1">
      <c r="A17" s="24">
        <v>48</v>
      </c>
      <c r="B17" s="59" t="s">
        <v>25</v>
      </c>
      <c r="C17" s="61" t="s">
        <v>12</v>
      </c>
      <c r="D17" s="50">
        <v>11</v>
      </c>
      <c r="E17" s="50">
        <v>11</v>
      </c>
      <c r="F17" s="50">
        <v>11</v>
      </c>
      <c r="G17" s="50">
        <v>11</v>
      </c>
      <c r="H17" s="13">
        <v>11</v>
      </c>
      <c r="I17" s="13">
        <v>11</v>
      </c>
      <c r="J17" s="13">
        <v>11</v>
      </c>
      <c r="K17" s="50">
        <v>11</v>
      </c>
      <c r="L17" s="50" t="s">
        <v>10</v>
      </c>
      <c r="M17" s="50">
        <v>11</v>
      </c>
      <c r="N17" s="51" t="s">
        <v>10</v>
      </c>
      <c r="O17" s="24">
        <v>11</v>
      </c>
      <c r="P17" s="24">
        <v>11</v>
      </c>
      <c r="Q17" s="24">
        <v>11</v>
      </c>
      <c r="R17" s="24">
        <v>11</v>
      </c>
      <c r="S17" s="24">
        <v>11</v>
      </c>
      <c r="T17" s="51">
        <v>11</v>
      </c>
      <c r="U17" s="51">
        <v>11</v>
      </c>
      <c r="V17" s="13">
        <v>11</v>
      </c>
      <c r="W17" s="13">
        <v>11</v>
      </c>
      <c r="X17" s="13">
        <v>11</v>
      </c>
      <c r="Y17" s="13">
        <v>11</v>
      </c>
      <c r="Z17" s="13">
        <v>11</v>
      </c>
      <c r="AA17" s="50">
        <v>11</v>
      </c>
      <c r="AB17" s="50" t="s">
        <v>10</v>
      </c>
      <c r="AC17" s="13">
        <v>11</v>
      </c>
      <c r="AD17" s="13">
        <v>11</v>
      </c>
      <c r="AE17" s="13">
        <v>11</v>
      </c>
      <c r="AF17" s="13">
        <v>11</v>
      </c>
      <c r="AG17" s="13">
        <v>11</v>
      </c>
      <c r="AH17" s="50">
        <v>11</v>
      </c>
      <c r="AI17" s="9">
        <f t="shared" si="0"/>
        <v>308</v>
      </c>
      <c r="AJ17" s="9">
        <f t="shared" si="1"/>
        <v>28</v>
      </c>
    </row>
    <row r="18" spans="1:36" ht="22.15" customHeight="1">
      <c r="A18" s="24">
        <v>53</v>
      </c>
      <c r="B18" s="60" t="s">
        <v>26</v>
      </c>
      <c r="C18" s="61" t="s">
        <v>12</v>
      </c>
      <c r="D18" s="50">
        <v>11</v>
      </c>
      <c r="E18" s="50">
        <v>11</v>
      </c>
      <c r="F18" s="50">
        <v>11</v>
      </c>
      <c r="G18" s="50">
        <v>11</v>
      </c>
      <c r="H18" s="13">
        <v>11</v>
      </c>
      <c r="I18" s="13">
        <v>11</v>
      </c>
      <c r="J18" s="13">
        <v>11</v>
      </c>
      <c r="K18" s="50">
        <v>11</v>
      </c>
      <c r="L18" s="50" t="s">
        <v>10</v>
      </c>
      <c r="M18" s="50">
        <v>11</v>
      </c>
      <c r="N18" s="50">
        <v>11</v>
      </c>
      <c r="O18" s="13">
        <v>11</v>
      </c>
      <c r="P18" s="13">
        <v>11</v>
      </c>
      <c r="Q18" s="13">
        <v>11</v>
      </c>
      <c r="R18" s="13">
        <v>11</v>
      </c>
      <c r="S18" s="13">
        <v>11</v>
      </c>
      <c r="T18" s="50">
        <v>11</v>
      </c>
      <c r="U18" s="50">
        <v>11</v>
      </c>
      <c r="V18" s="13" t="s">
        <v>7</v>
      </c>
      <c r="W18" s="13">
        <v>11</v>
      </c>
      <c r="X18" s="13">
        <v>11</v>
      </c>
      <c r="Y18" s="13">
        <v>11</v>
      </c>
      <c r="Z18" s="13">
        <v>11</v>
      </c>
      <c r="AA18" s="50">
        <v>11</v>
      </c>
      <c r="AB18" s="50">
        <v>11</v>
      </c>
      <c r="AC18" s="13">
        <v>11</v>
      </c>
      <c r="AD18" s="13">
        <v>11</v>
      </c>
      <c r="AE18" s="13">
        <v>11</v>
      </c>
      <c r="AF18" s="13">
        <v>11</v>
      </c>
      <c r="AG18" s="13">
        <v>11</v>
      </c>
      <c r="AH18" s="64" t="s">
        <v>10</v>
      </c>
      <c r="AI18" s="9">
        <f t="shared" si="0"/>
        <v>308</v>
      </c>
      <c r="AJ18" s="9">
        <f t="shared" si="1"/>
        <v>28</v>
      </c>
    </row>
    <row r="19" spans="1:36" ht="22.15" customHeight="1">
      <c r="A19" s="24">
        <v>55</v>
      </c>
      <c r="B19" s="60" t="s">
        <v>27</v>
      </c>
      <c r="C19" s="61" t="s">
        <v>12</v>
      </c>
      <c r="D19" s="50" t="s">
        <v>14</v>
      </c>
      <c r="E19" s="50" t="s">
        <v>9</v>
      </c>
      <c r="F19" s="50" t="s">
        <v>9</v>
      </c>
      <c r="G19" s="50" t="s">
        <v>9</v>
      </c>
      <c r="H19" s="13" t="s">
        <v>9</v>
      </c>
      <c r="I19" s="13" t="s">
        <v>9</v>
      </c>
      <c r="J19" s="13" t="s">
        <v>9</v>
      </c>
      <c r="K19" s="50" t="s">
        <v>9</v>
      </c>
      <c r="L19" s="50" t="s">
        <v>9</v>
      </c>
      <c r="M19" s="50" t="s">
        <v>9</v>
      </c>
      <c r="N19" s="50" t="s">
        <v>9</v>
      </c>
      <c r="O19" s="13" t="s">
        <v>9</v>
      </c>
      <c r="P19" s="13" t="s">
        <v>9</v>
      </c>
      <c r="Q19" s="13" t="s">
        <v>9</v>
      </c>
      <c r="R19" s="13" t="s">
        <v>9</v>
      </c>
      <c r="S19" s="13" t="s">
        <v>9</v>
      </c>
      <c r="T19" s="50" t="s">
        <v>9</v>
      </c>
      <c r="U19" s="50" t="s">
        <v>9</v>
      </c>
      <c r="V19" s="13" t="s">
        <v>9</v>
      </c>
      <c r="W19" s="13" t="s">
        <v>9</v>
      </c>
      <c r="X19" s="13" t="s">
        <v>9</v>
      </c>
      <c r="Y19" s="13" t="s">
        <v>9</v>
      </c>
      <c r="Z19" s="13" t="s">
        <v>9</v>
      </c>
      <c r="AA19" s="50" t="s">
        <v>9</v>
      </c>
      <c r="AB19" s="50" t="s">
        <v>9</v>
      </c>
      <c r="AC19" s="13" t="s">
        <v>9</v>
      </c>
      <c r="AD19" s="13" t="s">
        <v>9</v>
      </c>
      <c r="AE19" s="13" t="s">
        <v>9</v>
      </c>
      <c r="AF19" s="13" t="s">
        <v>9</v>
      </c>
      <c r="AG19" s="13" t="s">
        <v>9</v>
      </c>
      <c r="AH19" s="50" t="s">
        <v>9</v>
      </c>
      <c r="AI19" s="9">
        <f t="shared" si="0"/>
        <v>0</v>
      </c>
      <c r="AJ19" s="9">
        <f t="shared" si="1"/>
        <v>0</v>
      </c>
    </row>
    <row r="20" spans="1:36" ht="22.15" customHeight="1">
      <c r="A20" s="24">
        <v>65</v>
      </c>
      <c r="B20" s="60" t="s">
        <v>28</v>
      </c>
      <c r="C20" s="61" t="s">
        <v>12</v>
      </c>
      <c r="D20" s="50">
        <v>11</v>
      </c>
      <c r="E20" s="50">
        <v>11</v>
      </c>
      <c r="F20" s="50">
        <v>11</v>
      </c>
      <c r="G20" s="50">
        <v>11</v>
      </c>
      <c r="H20" s="13">
        <v>11</v>
      </c>
      <c r="I20" s="13">
        <v>11</v>
      </c>
      <c r="J20" s="13">
        <v>11</v>
      </c>
      <c r="K20" s="50" t="s">
        <v>10</v>
      </c>
      <c r="L20" s="50" t="s">
        <v>10</v>
      </c>
      <c r="M20" s="50" t="s">
        <v>10</v>
      </c>
      <c r="N20" s="50">
        <v>11</v>
      </c>
      <c r="O20" s="13">
        <v>11</v>
      </c>
      <c r="P20" s="13" t="s">
        <v>14</v>
      </c>
      <c r="Q20" s="13" t="s">
        <v>9</v>
      </c>
      <c r="R20" s="13" t="s">
        <v>9</v>
      </c>
      <c r="S20" s="13" t="s">
        <v>9</v>
      </c>
      <c r="T20" s="50" t="s">
        <v>9</v>
      </c>
      <c r="U20" s="50" t="s">
        <v>9</v>
      </c>
      <c r="V20" s="13" t="s">
        <v>9</v>
      </c>
      <c r="W20" s="13" t="s">
        <v>9</v>
      </c>
      <c r="X20" s="13" t="s">
        <v>9</v>
      </c>
      <c r="Y20" s="13" t="s">
        <v>9</v>
      </c>
      <c r="Z20" s="13" t="s">
        <v>9</v>
      </c>
      <c r="AA20" s="50" t="s">
        <v>9</v>
      </c>
      <c r="AB20" s="50" t="s">
        <v>9</v>
      </c>
      <c r="AC20" s="13" t="s">
        <v>9</v>
      </c>
      <c r="AD20" s="13" t="s">
        <v>9</v>
      </c>
      <c r="AE20" s="13" t="s">
        <v>9</v>
      </c>
      <c r="AF20" s="13" t="s">
        <v>9</v>
      </c>
      <c r="AG20" s="13" t="s">
        <v>9</v>
      </c>
      <c r="AH20" s="50" t="s">
        <v>9</v>
      </c>
      <c r="AI20" s="9">
        <f t="shared" si="0"/>
        <v>99</v>
      </c>
      <c r="AJ20" s="9">
        <f t="shared" si="1"/>
        <v>9</v>
      </c>
    </row>
    <row r="21" spans="1:36" ht="22.15" customHeight="1">
      <c r="A21" s="24">
        <v>67</v>
      </c>
      <c r="B21" s="59" t="s">
        <v>29</v>
      </c>
      <c r="C21" s="13" t="s">
        <v>12</v>
      </c>
      <c r="D21" s="50">
        <v>11</v>
      </c>
      <c r="E21" s="50">
        <v>11</v>
      </c>
      <c r="F21" s="50">
        <v>11</v>
      </c>
      <c r="G21" s="50">
        <v>11</v>
      </c>
      <c r="H21" s="13">
        <v>11</v>
      </c>
      <c r="I21" s="13">
        <v>11</v>
      </c>
      <c r="J21" s="13">
        <v>11</v>
      </c>
      <c r="K21" s="51">
        <v>11</v>
      </c>
      <c r="L21" s="51" t="s">
        <v>10</v>
      </c>
      <c r="M21" s="51">
        <v>11</v>
      </c>
      <c r="N21" s="51" t="s">
        <v>10</v>
      </c>
      <c r="O21" s="24">
        <v>11</v>
      </c>
      <c r="P21" s="24">
        <v>11</v>
      </c>
      <c r="Q21" s="24">
        <v>11</v>
      </c>
      <c r="R21" s="24">
        <v>11</v>
      </c>
      <c r="S21" s="24">
        <v>11</v>
      </c>
      <c r="T21" s="51">
        <v>11</v>
      </c>
      <c r="U21" s="51">
        <v>11</v>
      </c>
      <c r="V21" s="13">
        <v>11</v>
      </c>
      <c r="W21" s="13">
        <v>11</v>
      </c>
      <c r="X21" s="13">
        <v>11</v>
      </c>
      <c r="Y21" s="13">
        <v>11</v>
      </c>
      <c r="Z21" s="13">
        <v>11</v>
      </c>
      <c r="AA21" s="50">
        <v>11</v>
      </c>
      <c r="AB21" s="50" t="s">
        <v>10</v>
      </c>
      <c r="AC21" s="13">
        <v>11</v>
      </c>
      <c r="AD21" s="13">
        <v>11</v>
      </c>
      <c r="AE21" s="13">
        <v>11</v>
      </c>
      <c r="AF21" s="13">
        <v>11</v>
      </c>
      <c r="AG21" s="13">
        <v>11</v>
      </c>
      <c r="AH21" s="50">
        <v>11</v>
      </c>
      <c r="AI21" s="9">
        <f t="shared" ref="AI21:AI27" si="2">SUM(D21:AH21)</f>
        <v>308</v>
      </c>
      <c r="AJ21" s="9">
        <f t="shared" ref="AJ21:AJ27" si="3">COUNT(D21:AH21)</f>
        <v>28</v>
      </c>
    </row>
    <row r="22" spans="1:36" ht="22.15" customHeight="1">
      <c r="A22" s="24">
        <v>71</v>
      </c>
      <c r="B22" s="60" t="s">
        <v>30</v>
      </c>
      <c r="C22" s="61" t="s">
        <v>12</v>
      </c>
      <c r="D22" s="50">
        <v>11</v>
      </c>
      <c r="E22" s="50">
        <v>11</v>
      </c>
      <c r="F22" s="50">
        <v>11</v>
      </c>
      <c r="G22" s="50">
        <v>11</v>
      </c>
      <c r="H22" s="13">
        <v>11</v>
      </c>
      <c r="I22" s="13">
        <v>11</v>
      </c>
      <c r="J22" s="13">
        <v>11</v>
      </c>
      <c r="K22" s="51">
        <v>11</v>
      </c>
      <c r="L22" s="51" t="s">
        <v>10</v>
      </c>
      <c r="M22" s="51">
        <v>11</v>
      </c>
      <c r="N22" s="50">
        <v>11</v>
      </c>
      <c r="O22" s="13">
        <v>11</v>
      </c>
      <c r="P22" s="13">
        <v>11</v>
      </c>
      <c r="Q22" s="13">
        <v>11</v>
      </c>
      <c r="R22" s="13">
        <v>11</v>
      </c>
      <c r="S22" s="13">
        <v>11</v>
      </c>
      <c r="T22" s="50">
        <v>11</v>
      </c>
      <c r="U22" s="50" t="s">
        <v>14</v>
      </c>
      <c r="V22" s="13" t="s">
        <v>9</v>
      </c>
      <c r="W22" s="13" t="s">
        <v>9</v>
      </c>
      <c r="X22" s="13" t="s">
        <v>9</v>
      </c>
      <c r="Y22" s="13" t="s">
        <v>9</v>
      </c>
      <c r="Z22" s="13" t="s">
        <v>9</v>
      </c>
      <c r="AA22" s="50" t="s">
        <v>9</v>
      </c>
      <c r="AB22" s="50" t="s">
        <v>9</v>
      </c>
      <c r="AC22" s="13" t="s">
        <v>9</v>
      </c>
      <c r="AD22" s="13" t="s">
        <v>9</v>
      </c>
      <c r="AE22" s="13" t="s">
        <v>9</v>
      </c>
      <c r="AF22" s="13" t="s">
        <v>9</v>
      </c>
      <c r="AG22" s="13" t="s">
        <v>9</v>
      </c>
      <c r="AH22" s="50" t="s">
        <v>9</v>
      </c>
      <c r="AI22" s="9">
        <f t="shared" si="2"/>
        <v>176</v>
      </c>
      <c r="AJ22" s="9">
        <f t="shared" si="3"/>
        <v>16</v>
      </c>
    </row>
    <row r="23" spans="1:36" ht="22.15" customHeight="1">
      <c r="A23" s="24">
        <v>80</v>
      </c>
      <c r="B23" s="59" t="s">
        <v>31</v>
      </c>
      <c r="C23" s="13" t="s">
        <v>12</v>
      </c>
      <c r="D23" s="51" t="s">
        <v>9</v>
      </c>
      <c r="E23" s="51" t="s">
        <v>9</v>
      </c>
      <c r="F23" s="51" t="s">
        <v>9</v>
      </c>
      <c r="G23" s="51" t="s">
        <v>9</v>
      </c>
      <c r="H23" s="13" t="s">
        <v>9</v>
      </c>
      <c r="I23" s="13" t="s">
        <v>9</v>
      </c>
      <c r="J23" s="13" t="s">
        <v>9</v>
      </c>
      <c r="K23" s="50" t="s">
        <v>9</v>
      </c>
      <c r="L23" s="50" t="s">
        <v>9</v>
      </c>
      <c r="M23" s="50" t="s">
        <v>9</v>
      </c>
      <c r="N23" s="50" t="s">
        <v>9</v>
      </c>
      <c r="O23" s="13" t="s">
        <v>9</v>
      </c>
      <c r="P23" s="13" t="s">
        <v>9</v>
      </c>
      <c r="Q23" s="13" t="s">
        <v>9</v>
      </c>
      <c r="R23" s="13" t="s">
        <v>9</v>
      </c>
      <c r="S23" s="13" t="s">
        <v>9</v>
      </c>
      <c r="T23" s="50" t="s">
        <v>9</v>
      </c>
      <c r="U23" s="50" t="s">
        <v>9</v>
      </c>
      <c r="V23" s="24" t="s">
        <v>9</v>
      </c>
      <c r="W23" s="24" t="s">
        <v>9</v>
      </c>
      <c r="X23" s="24" t="s">
        <v>9</v>
      </c>
      <c r="Y23" s="24" t="s">
        <v>9</v>
      </c>
      <c r="Z23" s="24" t="s">
        <v>9</v>
      </c>
      <c r="AA23" s="50" t="s">
        <v>9</v>
      </c>
      <c r="AB23" s="50" t="s">
        <v>9</v>
      </c>
      <c r="AC23" s="13" t="s">
        <v>9</v>
      </c>
      <c r="AD23" s="13" t="s">
        <v>9</v>
      </c>
      <c r="AE23" s="24" t="s">
        <v>9</v>
      </c>
      <c r="AF23" s="24" t="s">
        <v>9</v>
      </c>
      <c r="AG23" s="24" t="s">
        <v>9</v>
      </c>
      <c r="AH23" s="51" t="s">
        <v>9</v>
      </c>
      <c r="AI23" s="9">
        <f t="shared" si="2"/>
        <v>0</v>
      </c>
      <c r="AJ23" s="9">
        <f t="shared" si="3"/>
        <v>0</v>
      </c>
    </row>
    <row r="24" spans="1:36" ht="22.15" customHeight="1">
      <c r="A24" s="24">
        <v>83</v>
      </c>
      <c r="B24" s="59" t="s">
        <v>32</v>
      </c>
      <c r="C24" s="61" t="s">
        <v>12</v>
      </c>
      <c r="D24" s="51" t="s">
        <v>9</v>
      </c>
      <c r="E24" s="51" t="s">
        <v>9</v>
      </c>
      <c r="F24" s="51" t="s">
        <v>9</v>
      </c>
      <c r="G24" s="51" t="s">
        <v>9</v>
      </c>
      <c r="H24" s="13" t="s">
        <v>9</v>
      </c>
      <c r="I24" s="13" t="s">
        <v>9</v>
      </c>
      <c r="J24" s="13" t="s">
        <v>9</v>
      </c>
      <c r="K24" s="50" t="s">
        <v>9</v>
      </c>
      <c r="L24" s="50" t="s">
        <v>9</v>
      </c>
      <c r="M24" s="50" t="s">
        <v>9</v>
      </c>
      <c r="N24" s="50" t="s">
        <v>9</v>
      </c>
      <c r="O24" s="13" t="s">
        <v>9</v>
      </c>
      <c r="P24" s="13" t="s">
        <v>9</v>
      </c>
      <c r="Q24" s="13" t="s">
        <v>9</v>
      </c>
      <c r="R24" s="13" t="s">
        <v>9</v>
      </c>
      <c r="S24" s="13" t="s">
        <v>9</v>
      </c>
      <c r="T24" s="50" t="s">
        <v>9</v>
      </c>
      <c r="U24" s="50" t="s">
        <v>9</v>
      </c>
      <c r="V24" s="24" t="s">
        <v>9</v>
      </c>
      <c r="W24" s="24" t="s">
        <v>9</v>
      </c>
      <c r="X24" s="24" t="s">
        <v>9</v>
      </c>
      <c r="Y24" s="24" t="s">
        <v>9</v>
      </c>
      <c r="Z24" s="24" t="s">
        <v>9</v>
      </c>
      <c r="AA24" s="51" t="s">
        <v>9</v>
      </c>
      <c r="AB24" s="51" t="s">
        <v>9</v>
      </c>
      <c r="AC24" s="24" t="s">
        <v>9</v>
      </c>
      <c r="AD24" s="24" t="s">
        <v>9</v>
      </c>
      <c r="AE24" s="24" t="s">
        <v>9</v>
      </c>
      <c r="AF24" s="24" t="s">
        <v>9</v>
      </c>
      <c r="AG24" s="24" t="s">
        <v>9</v>
      </c>
      <c r="AH24" s="51" t="s">
        <v>9</v>
      </c>
      <c r="AI24" s="9">
        <f t="shared" si="2"/>
        <v>0</v>
      </c>
      <c r="AJ24" s="9">
        <f t="shared" si="3"/>
        <v>0</v>
      </c>
    </row>
    <row r="25" spans="1:36" ht="22.15" customHeight="1">
      <c r="A25" s="24">
        <v>84</v>
      </c>
      <c r="B25" s="59" t="s">
        <v>33</v>
      </c>
      <c r="C25" s="13" t="s">
        <v>12</v>
      </c>
      <c r="D25" s="51">
        <v>11</v>
      </c>
      <c r="E25" s="51">
        <v>11</v>
      </c>
      <c r="F25" s="51">
        <v>11</v>
      </c>
      <c r="G25" s="51">
        <v>11</v>
      </c>
      <c r="H25" s="24">
        <v>11</v>
      </c>
      <c r="I25" s="24">
        <v>11</v>
      </c>
      <c r="J25" s="24">
        <v>11</v>
      </c>
      <c r="K25" s="51" t="s">
        <v>10</v>
      </c>
      <c r="L25" s="51" t="s">
        <v>10</v>
      </c>
      <c r="M25" s="51" t="s">
        <v>10</v>
      </c>
      <c r="N25" s="51" t="s">
        <v>10</v>
      </c>
      <c r="O25" s="24">
        <v>11</v>
      </c>
      <c r="P25" s="24">
        <v>11</v>
      </c>
      <c r="Q25" s="24">
        <v>11</v>
      </c>
      <c r="R25" s="24">
        <v>11</v>
      </c>
      <c r="S25" s="24">
        <v>11</v>
      </c>
      <c r="T25" s="51">
        <v>11</v>
      </c>
      <c r="U25" s="51">
        <v>11</v>
      </c>
      <c r="V25" s="24">
        <v>11</v>
      </c>
      <c r="W25" s="24">
        <v>11</v>
      </c>
      <c r="X25" s="24">
        <v>11</v>
      </c>
      <c r="Y25" s="24">
        <v>11</v>
      </c>
      <c r="Z25" s="24">
        <v>11</v>
      </c>
      <c r="AA25" s="51">
        <v>11</v>
      </c>
      <c r="AB25" s="51">
        <v>11</v>
      </c>
      <c r="AC25" s="24">
        <v>11</v>
      </c>
      <c r="AD25" s="24">
        <v>11</v>
      </c>
      <c r="AE25" s="24">
        <v>11</v>
      </c>
      <c r="AF25" s="24">
        <v>11</v>
      </c>
      <c r="AG25" s="24">
        <v>11</v>
      </c>
      <c r="AH25" s="51">
        <v>11</v>
      </c>
      <c r="AI25" s="9">
        <f t="shared" si="2"/>
        <v>297</v>
      </c>
      <c r="AJ25" s="9">
        <f t="shared" si="3"/>
        <v>27</v>
      </c>
    </row>
    <row r="26" spans="1:36" ht="22.15" customHeight="1">
      <c r="A26" s="24">
        <v>93</v>
      </c>
      <c r="B26" s="62" t="s">
        <v>34</v>
      </c>
      <c r="C26" s="13" t="s">
        <v>12</v>
      </c>
      <c r="D26" s="51">
        <v>11</v>
      </c>
      <c r="E26" s="51" t="s">
        <v>14</v>
      </c>
      <c r="F26" s="51" t="s">
        <v>9</v>
      </c>
      <c r="G26" s="51" t="s">
        <v>9</v>
      </c>
      <c r="H26" s="24" t="s">
        <v>9</v>
      </c>
      <c r="I26" s="24" t="s">
        <v>9</v>
      </c>
      <c r="J26" s="24" t="s">
        <v>9</v>
      </c>
      <c r="K26" s="51" t="s">
        <v>9</v>
      </c>
      <c r="L26" s="51" t="s">
        <v>9</v>
      </c>
      <c r="M26" s="51" t="s">
        <v>9</v>
      </c>
      <c r="N26" s="51" t="s">
        <v>9</v>
      </c>
      <c r="O26" s="24" t="s">
        <v>9</v>
      </c>
      <c r="P26" s="24" t="s">
        <v>9</v>
      </c>
      <c r="Q26" s="24" t="s">
        <v>9</v>
      </c>
      <c r="R26" s="24" t="s">
        <v>9</v>
      </c>
      <c r="S26" s="24" t="s">
        <v>9</v>
      </c>
      <c r="T26" s="51" t="s">
        <v>9</v>
      </c>
      <c r="U26" s="51" t="s">
        <v>9</v>
      </c>
      <c r="V26" s="24" t="s">
        <v>9</v>
      </c>
      <c r="W26" s="24" t="s">
        <v>9</v>
      </c>
      <c r="X26" s="24" t="s">
        <v>9</v>
      </c>
      <c r="Y26" s="24" t="s">
        <v>9</v>
      </c>
      <c r="Z26" s="24" t="s">
        <v>9</v>
      </c>
      <c r="AA26" s="51" t="s">
        <v>9</v>
      </c>
      <c r="AB26" s="51" t="s">
        <v>9</v>
      </c>
      <c r="AC26" s="24" t="s">
        <v>9</v>
      </c>
      <c r="AD26" s="24" t="s">
        <v>9</v>
      </c>
      <c r="AE26" s="24" t="s">
        <v>9</v>
      </c>
      <c r="AF26" s="24" t="s">
        <v>9</v>
      </c>
      <c r="AG26" s="24" t="s">
        <v>9</v>
      </c>
      <c r="AH26" s="51" t="s">
        <v>9</v>
      </c>
      <c r="AI26" s="9">
        <f t="shared" si="2"/>
        <v>11</v>
      </c>
      <c r="AJ26" s="9">
        <f t="shared" si="3"/>
        <v>1</v>
      </c>
    </row>
    <row r="27" spans="1:36" ht="22.15" customHeight="1">
      <c r="A27" s="55">
        <v>98</v>
      </c>
      <c r="B27" s="69" t="s">
        <v>35</v>
      </c>
      <c r="C27" s="70" t="s">
        <v>12</v>
      </c>
      <c r="D27" s="57">
        <v>11</v>
      </c>
      <c r="E27" s="57">
        <v>11</v>
      </c>
      <c r="F27" s="57">
        <v>11</v>
      </c>
      <c r="G27" s="57" t="s">
        <v>10</v>
      </c>
      <c r="H27" s="55">
        <v>11</v>
      </c>
      <c r="I27" s="55">
        <v>11</v>
      </c>
      <c r="J27" s="55">
        <v>11</v>
      </c>
      <c r="K27" s="57" t="s">
        <v>10</v>
      </c>
      <c r="L27" s="57" t="s">
        <v>10</v>
      </c>
      <c r="M27" s="57">
        <v>11</v>
      </c>
      <c r="N27" s="57" t="s">
        <v>10</v>
      </c>
      <c r="O27" s="55">
        <v>11</v>
      </c>
      <c r="P27" s="55">
        <v>11</v>
      </c>
      <c r="Q27" s="55">
        <v>11</v>
      </c>
      <c r="R27" s="55">
        <v>11</v>
      </c>
      <c r="S27" s="55">
        <v>11</v>
      </c>
      <c r="T27" s="57">
        <v>11</v>
      </c>
      <c r="U27" s="57">
        <v>11</v>
      </c>
      <c r="V27" s="55">
        <v>11</v>
      </c>
      <c r="W27" s="55">
        <v>11</v>
      </c>
      <c r="X27" s="55">
        <v>11</v>
      </c>
      <c r="Y27" s="55">
        <v>11</v>
      </c>
      <c r="Z27" s="55">
        <v>11</v>
      </c>
      <c r="AA27" s="57">
        <v>11</v>
      </c>
      <c r="AB27" s="57">
        <v>11</v>
      </c>
      <c r="AC27" s="55">
        <v>11</v>
      </c>
      <c r="AD27" s="55">
        <v>11</v>
      </c>
      <c r="AE27" s="55">
        <v>11</v>
      </c>
      <c r="AF27" s="55">
        <v>11</v>
      </c>
      <c r="AG27" s="55">
        <v>11</v>
      </c>
      <c r="AH27" s="57">
        <v>11</v>
      </c>
      <c r="AI27" s="48">
        <f t="shared" si="2"/>
        <v>297</v>
      </c>
      <c r="AJ27" s="48">
        <f t="shared" si="3"/>
        <v>27</v>
      </c>
    </row>
  </sheetData>
  <autoFilter ref="A4:AJ27" xr:uid="{00000000-0009-0000-0000-000001000000}"/>
  <sortState xmlns:xlrd2="http://schemas.microsoft.com/office/spreadsheetml/2017/richdata2" ref="B5:AJ27">
    <sortCondition ref="B5"/>
  </sortState>
  <mergeCells count="6">
    <mergeCell ref="A1:A3"/>
    <mergeCell ref="B1:B3"/>
    <mergeCell ref="C1:C3"/>
    <mergeCell ref="AI1:AI3"/>
    <mergeCell ref="AJ1:AJ3"/>
    <mergeCell ref="D1:AH2"/>
  </mergeCells>
  <conditionalFormatting sqref="B6:B7">
    <cfRule type="duplicateValues" dxfId="18" priority="604"/>
  </conditionalFormatting>
  <conditionalFormatting sqref="B8">
    <cfRule type="duplicateValues" dxfId="17" priority="191"/>
  </conditionalFormatting>
  <conditionalFormatting sqref="B19">
    <cfRule type="duplicateValues" dxfId="16" priority="119"/>
  </conditionalFormatting>
  <conditionalFormatting sqref="B27">
    <cfRule type="duplicateValues" dxfId="15" priority="598"/>
  </conditionalFormatting>
  <pageMargins left="0.25" right="0.25" top="0.75" bottom="0.75" header="0.3" footer="0.3"/>
  <pageSetup paperSize="9" scale="4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J27"/>
  <sheetViews>
    <sheetView zoomScale="50" zoomScaleNormal="50" workbookViewId="0">
      <selection activeCell="C1" sqref="C1:C1048576"/>
    </sheetView>
  </sheetViews>
  <sheetFormatPr defaultColWidth="9" defaultRowHeight="15"/>
  <cols>
    <col min="1" max="1" width="7.28515625" customWidth="1"/>
    <col min="2" max="2" width="54.85546875" style="32" customWidth="1"/>
    <col min="3" max="3" width="23.7109375" style="33" customWidth="1"/>
    <col min="4" max="33" width="4.7109375" customWidth="1"/>
    <col min="34" max="35" width="10.7109375" customWidth="1"/>
    <col min="36" max="36" width="40.42578125" customWidth="1"/>
  </cols>
  <sheetData>
    <row r="1" spans="1:36" ht="18" customHeight="1">
      <c r="A1" s="78" t="s">
        <v>0</v>
      </c>
      <c r="B1" s="79" t="s">
        <v>1</v>
      </c>
      <c r="C1" s="80" t="s">
        <v>2</v>
      </c>
      <c r="D1" s="89" t="s">
        <v>37</v>
      </c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2" t="s">
        <v>4</v>
      </c>
      <c r="AI1" s="82" t="s">
        <v>5</v>
      </c>
      <c r="AJ1" s="14"/>
    </row>
    <row r="2" spans="1:36" ht="18" customHeight="1">
      <c r="A2" s="78"/>
      <c r="B2" s="79"/>
      <c r="C2" s="80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2"/>
      <c r="AI2" s="82"/>
      <c r="AJ2" s="14"/>
    </row>
    <row r="3" spans="1:36" ht="18" customHeight="1">
      <c r="A3" s="78"/>
      <c r="B3" s="79"/>
      <c r="C3" s="80"/>
      <c r="D3" s="34">
        <v>1</v>
      </c>
      <c r="E3" s="15">
        <v>2</v>
      </c>
      <c r="F3" s="15">
        <v>3</v>
      </c>
      <c r="G3" s="15">
        <v>4</v>
      </c>
      <c r="H3" s="15">
        <v>5</v>
      </c>
      <c r="I3" s="15">
        <v>6</v>
      </c>
      <c r="J3" s="34">
        <v>7</v>
      </c>
      <c r="K3" s="34">
        <v>8</v>
      </c>
      <c r="L3" s="15">
        <v>9</v>
      </c>
      <c r="M3" s="15">
        <v>10</v>
      </c>
      <c r="N3" s="15">
        <v>11</v>
      </c>
      <c r="O3" s="15">
        <v>12</v>
      </c>
      <c r="P3" s="54">
        <v>13</v>
      </c>
      <c r="Q3" s="34">
        <v>14</v>
      </c>
      <c r="R3" s="34">
        <v>15</v>
      </c>
      <c r="S3" s="15">
        <v>16</v>
      </c>
      <c r="T3" s="15">
        <v>17</v>
      </c>
      <c r="U3" s="15">
        <v>18</v>
      </c>
      <c r="V3" s="15">
        <v>19</v>
      </c>
      <c r="W3" s="15">
        <v>20</v>
      </c>
      <c r="X3" s="34">
        <v>21</v>
      </c>
      <c r="Y3" s="34">
        <v>22</v>
      </c>
      <c r="Z3" s="15">
        <v>23</v>
      </c>
      <c r="AA3" s="15">
        <v>24</v>
      </c>
      <c r="AB3" s="15">
        <v>25</v>
      </c>
      <c r="AC3" s="15">
        <v>26</v>
      </c>
      <c r="AD3" s="15">
        <v>27</v>
      </c>
      <c r="AE3" s="34">
        <v>28</v>
      </c>
      <c r="AF3" s="34">
        <v>29</v>
      </c>
      <c r="AG3" s="15">
        <v>30</v>
      </c>
      <c r="AH3" s="82"/>
      <c r="AI3" s="82"/>
      <c r="AJ3" s="14"/>
    </row>
    <row r="4" spans="1:36" ht="25.15" customHeight="1">
      <c r="A4" s="1"/>
      <c r="B4" s="2"/>
      <c r="C4" s="3"/>
      <c r="D4" s="35"/>
      <c r="E4" s="19"/>
      <c r="F4" s="19"/>
      <c r="G4" s="19"/>
      <c r="H4" s="19"/>
      <c r="I4" s="19"/>
      <c r="J4" s="35"/>
      <c r="K4" s="35"/>
      <c r="L4" s="19"/>
      <c r="M4" s="19"/>
      <c r="N4" s="19"/>
      <c r="O4" s="19"/>
      <c r="P4" s="24"/>
      <c r="Q4" s="35"/>
      <c r="R4" s="35"/>
      <c r="S4" s="19"/>
      <c r="T4" s="19"/>
      <c r="U4" s="19"/>
      <c r="V4" s="19"/>
      <c r="W4" s="19"/>
      <c r="X4" s="35"/>
      <c r="Y4" s="35"/>
      <c r="Z4" s="19"/>
      <c r="AA4" s="19"/>
      <c r="AB4" s="19"/>
      <c r="AC4" s="19"/>
      <c r="AD4" s="19"/>
      <c r="AE4" s="35"/>
      <c r="AF4" s="35"/>
      <c r="AG4" s="19"/>
      <c r="AH4" s="16"/>
      <c r="AI4" s="16"/>
      <c r="AJ4" s="14"/>
    </row>
    <row r="5" spans="1:36" ht="25.15" customHeight="1">
      <c r="A5" s="24">
        <v>8</v>
      </c>
      <c r="B5" s="6" t="s">
        <v>11</v>
      </c>
      <c r="C5" s="45" t="s">
        <v>12</v>
      </c>
      <c r="D5" s="52">
        <v>11</v>
      </c>
      <c r="E5" s="53">
        <v>11</v>
      </c>
      <c r="F5" s="53">
        <v>11</v>
      </c>
      <c r="G5" s="53">
        <v>11</v>
      </c>
      <c r="H5" s="4">
        <v>11</v>
      </c>
      <c r="I5" s="4">
        <v>11</v>
      </c>
      <c r="J5" s="49">
        <v>11</v>
      </c>
      <c r="K5" s="49">
        <v>11</v>
      </c>
      <c r="L5" s="4">
        <v>11</v>
      </c>
      <c r="M5" s="4" t="s">
        <v>7</v>
      </c>
      <c r="N5" s="4">
        <v>11</v>
      </c>
      <c r="O5" s="4">
        <v>11</v>
      </c>
      <c r="P5" s="4">
        <v>11</v>
      </c>
      <c r="Q5" s="49">
        <v>11</v>
      </c>
      <c r="R5" s="49">
        <v>11</v>
      </c>
      <c r="S5" s="4">
        <v>11</v>
      </c>
      <c r="T5" s="4" t="s">
        <v>7</v>
      </c>
      <c r="U5" s="4">
        <v>11</v>
      </c>
      <c r="V5" s="4">
        <v>11</v>
      </c>
      <c r="W5" s="4">
        <v>11</v>
      </c>
      <c r="X5" s="49">
        <v>11</v>
      </c>
      <c r="Y5" s="49" t="s">
        <v>7</v>
      </c>
      <c r="Z5" s="4">
        <v>11</v>
      </c>
      <c r="AA5" s="4">
        <v>11</v>
      </c>
      <c r="AB5" s="4">
        <v>11</v>
      </c>
      <c r="AC5" s="4">
        <v>11</v>
      </c>
      <c r="AD5" s="4">
        <v>11</v>
      </c>
      <c r="AE5" s="49">
        <v>11</v>
      </c>
      <c r="AF5" s="49">
        <v>11</v>
      </c>
      <c r="AG5" s="4" t="s">
        <v>7</v>
      </c>
      <c r="AH5" s="7">
        <f t="shared" ref="AH5:AH9" si="0">SUM(D5:AG5)</f>
        <v>286</v>
      </c>
      <c r="AI5" s="7">
        <f t="shared" ref="AI5:AI9" si="1">COUNT(D5:AG5)</f>
        <v>26</v>
      </c>
      <c r="AJ5" s="14"/>
    </row>
    <row r="6" spans="1:36" ht="25.15" customHeight="1">
      <c r="A6" s="4">
        <v>11</v>
      </c>
      <c r="B6" s="8" t="s">
        <v>13</v>
      </c>
      <c r="C6" s="11" t="s">
        <v>12</v>
      </c>
      <c r="D6" s="50" t="s">
        <v>9</v>
      </c>
      <c r="E6" s="13" t="s">
        <v>9</v>
      </c>
      <c r="F6" s="13" t="s">
        <v>9</v>
      </c>
      <c r="G6" s="13" t="s">
        <v>9</v>
      </c>
      <c r="H6" s="13" t="s">
        <v>9</v>
      </c>
      <c r="I6" s="13" t="s">
        <v>9</v>
      </c>
      <c r="J6" s="50" t="s">
        <v>9</v>
      </c>
      <c r="K6" s="50" t="s">
        <v>9</v>
      </c>
      <c r="L6" s="24" t="s">
        <v>9</v>
      </c>
      <c r="M6" s="24" t="s">
        <v>9</v>
      </c>
      <c r="N6" s="13" t="s">
        <v>9</v>
      </c>
      <c r="O6" s="13" t="s">
        <v>9</v>
      </c>
      <c r="P6" s="13" t="s">
        <v>9</v>
      </c>
      <c r="Q6" s="51" t="s">
        <v>9</v>
      </c>
      <c r="R6" s="51" t="s">
        <v>9</v>
      </c>
      <c r="S6" s="13" t="s">
        <v>9</v>
      </c>
      <c r="T6" s="13" t="s">
        <v>9</v>
      </c>
      <c r="U6" s="13" t="s">
        <v>9</v>
      </c>
      <c r="V6" s="13" t="s">
        <v>9</v>
      </c>
      <c r="W6" s="13" t="s">
        <v>9</v>
      </c>
      <c r="X6" s="50" t="s">
        <v>9</v>
      </c>
      <c r="Y6" s="51" t="s">
        <v>9</v>
      </c>
      <c r="Z6" s="24" t="s">
        <v>9</v>
      </c>
      <c r="AA6" s="24" t="s">
        <v>9</v>
      </c>
      <c r="AB6" s="24" t="s">
        <v>9</v>
      </c>
      <c r="AC6" s="24" t="s">
        <v>9</v>
      </c>
      <c r="AD6" s="24" t="s">
        <v>9</v>
      </c>
      <c r="AE6" s="51" t="s">
        <v>9</v>
      </c>
      <c r="AF6" s="50" t="s">
        <v>9</v>
      </c>
      <c r="AG6" s="13" t="s">
        <v>9</v>
      </c>
      <c r="AH6" s="9">
        <f t="shared" si="0"/>
        <v>0</v>
      </c>
      <c r="AI6" s="9">
        <f t="shared" si="1"/>
        <v>0</v>
      </c>
      <c r="AJ6" s="14"/>
    </row>
    <row r="7" spans="1:36" ht="25.15" customHeight="1">
      <c r="A7" s="4">
        <v>13</v>
      </c>
      <c r="B7" s="12" t="s">
        <v>15</v>
      </c>
      <c r="C7" s="11" t="s">
        <v>12</v>
      </c>
      <c r="D7" s="50" t="s">
        <v>9</v>
      </c>
      <c r="E7" s="13" t="s">
        <v>9</v>
      </c>
      <c r="F7" s="13" t="s">
        <v>9</v>
      </c>
      <c r="G7" s="13" t="s">
        <v>9</v>
      </c>
      <c r="H7" s="13" t="s">
        <v>9</v>
      </c>
      <c r="I7" s="13" t="s">
        <v>9</v>
      </c>
      <c r="J7" s="50" t="s">
        <v>9</v>
      </c>
      <c r="K7" s="50" t="s">
        <v>9</v>
      </c>
      <c r="L7" s="24" t="s">
        <v>9</v>
      </c>
      <c r="M7" s="24" t="s">
        <v>9</v>
      </c>
      <c r="N7" s="13" t="s">
        <v>9</v>
      </c>
      <c r="O7" s="13" t="s">
        <v>9</v>
      </c>
      <c r="P7" s="13" t="s">
        <v>9</v>
      </c>
      <c r="Q7" s="51" t="s">
        <v>9</v>
      </c>
      <c r="R7" s="51" t="s">
        <v>9</v>
      </c>
      <c r="S7" s="13" t="s">
        <v>9</v>
      </c>
      <c r="T7" s="13" t="s">
        <v>9</v>
      </c>
      <c r="U7" s="13" t="s">
        <v>9</v>
      </c>
      <c r="V7" s="13" t="s">
        <v>9</v>
      </c>
      <c r="W7" s="13" t="s">
        <v>9</v>
      </c>
      <c r="X7" s="50" t="s">
        <v>9</v>
      </c>
      <c r="Y7" s="51" t="s">
        <v>9</v>
      </c>
      <c r="Z7" s="24" t="s">
        <v>9</v>
      </c>
      <c r="AA7" s="24" t="s">
        <v>9</v>
      </c>
      <c r="AB7" s="24" t="s">
        <v>9</v>
      </c>
      <c r="AC7" s="24" t="s">
        <v>9</v>
      </c>
      <c r="AD7" s="24" t="s">
        <v>9</v>
      </c>
      <c r="AE7" s="51" t="s">
        <v>9</v>
      </c>
      <c r="AF7" s="50" t="s">
        <v>9</v>
      </c>
      <c r="AG7" s="13" t="s">
        <v>9</v>
      </c>
      <c r="AH7" s="9">
        <f t="shared" si="0"/>
        <v>0</v>
      </c>
      <c r="AI7" s="9">
        <f t="shared" si="1"/>
        <v>0</v>
      </c>
      <c r="AJ7" s="14"/>
    </row>
    <row r="8" spans="1:36" ht="25.15" customHeight="1">
      <c r="A8" s="4">
        <v>21</v>
      </c>
      <c r="B8" s="8" t="s">
        <v>16</v>
      </c>
      <c r="C8" s="10" t="s">
        <v>12</v>
      </c>
      <c r="D8" s="50">
        <v>11</v>
      </c>
      <c r="E8" s="13">
        <v>11</v>
      </c>
      <c r="F8" s="13">
        <v>11</v>
      </c>
      <c r="G8" s="13">
        <v>11</v>
      </c>
      <c r="H8" s="13">
        <v>11</v>
      </c>
      <c r="I8" s="13">
        <v>11</v>
      </c>
      <c r="J8" s="50">
        <v>11</v>
      </c>
      <c r="K8" s="50" t="s">
        <v>10</v>
      </c>
      <c r="L8" s="13">
        <v>11</v>
      </c>
      <c r="M8" s="13">
        <v>11</v>
      </c>
      <c r="N8" s="13">
        <v>11</v>
      </c>
      <c r="O8" s="13">
        <v>11</v>
      </c>
      <c r="P8" s="13">
        <v>11</v>
      </c>
      <c r="Q8" s="51">
        <v>11</v>
      </c>
      <c r="R8" s="51" t="s">
        <v>10</v>
      </c>
      <c r="S8" s="13">
        <v>11</v>
      </c>
      <c r="T8" s="13">
        <v>11</v>
      </c>
      <c r="U8" s="13">
        <v>11</v>
      </c>
      <c r="V8" s="13">
        <v>11</v>
      </c>
      <c r="W8" s="13">
        <v>11</v>
      </c>
      <c r="X8" s="50">
        <v>11</v>
      </c>
      <c r="Y8" s="50">
        <v>11</v>
      </c>
      <c r="Z8" s="13" t="s">
        <v>14</v>
      </c>
      <c r="AA8" s="13" t="s">
        <v>14</v>
      </c>
      <c r="AB8" s="13" t="s">
        <v>9</v>
      </c>
      <c r="AC8" s="13" t="s">
        <v>9</v>
      </c>
      <c r="AD8" s="13" t="s">
        <v>9</v>
      </c>
      <c r="AE8" s="50" t="s">
        <v>9</v>
      </c>
      <c r="AF8" s="50" t="s">
        <v>9</v>
      </c>
      <c r="AG8" s="13" t="s">
        <v>9</v>
      </c>
      <c r="AH8" s="9">
        <f t="shared" si="0"/>
        <v>220</v>
      </c>
      <c r="AI8" s="9">
        <f t="shared" si="1"/>
        <v>20</v>
      </c>
      <c r="AJ8" s="14"/>
    </row>
    <row r="9" spans="1:36" ht="25.15" customHeight="1">
      <c r="A9" s="4">
        <v>25</v>
      </c>
      <c r="B9" s="41" t="s">
        <v>17</v>
      </c>
      <c r="C9" s="10" t="s">
        <v>12</v>
      </c>
      <c r="D9" s="50" t="s">
        <v>10</v>
      </c>
      <c r="E9" s="13" t="s">
        <v>7</v>
      </c>
      <c r="F9" s="13">
        <v>11</v>
      </c>
      <c r="G9" s="13">
        <v>11</v>
      </c>
      <c r="H9" s="13">
        <v>11</v>
      </c>
      <c r="I9" s="13">
        <v>11</v>
      </c>
      <c r="J9" s="50">
        <v>11</v>
      </c>
      <c r="K9" s="50">
        <v>11</v>
      </c>
      <c r="L9" s="13">
        <v>11</v>
      </c>
      <c r="M9" s="13">
        <v>11</v>
      </c>
      <c r="N9" s="24">
        <v>11</v>
      </c>
      <c r="O9" s="24">
        <v>11</v>
      </c>
      <c r="P9" s="24">
        <v>11</v>
      </c>
      <c r="Q9" s="51">
        <v>11</v>
      </c>
      <c r="R9" s="51" t="s">
        <v>10</v>
      </c>
      <c r="S9" s="13" t="s">
        <v>7</v>
      </c>
      <c r="T9" s="13" t="s">
        <v>7</v>
      </c>
      <c r="U9" s="13">
        <v>11</v>
      </c>
      <c r="V9" s="13">
        <v>11</v>
      </c>
      <c r="W9" s="13">
        <v>11</v>
      </c>
      <c r="X9" s="51">
        <v>11</v>
      </c>
      <c r="Y9" s="51">
        <v>11</v>
      </c>
      <c r="Z9" s="24">
        <v>11</v>
      </c>
      <c r="AA9" s="24">
        <v>11</v>
      </c>
      <c r="AB9" s="24">
        <v>11</v>
      </c>
      <c r="AC9" s="24">
        <v>11</v>
      </c>
      <c r="AD9" s="24">
        <v>11</v>
      </c>
      <c r="AE9" s="51">
        <v>11</v>
      </c>
      <c r="AF9" s="51">
        <v>11</v>
      </c>
      <c r="AG9" s="24">
        <v>11</v>
      </c>
      <c r="AH9" s="9">
        <f t="shared" si="0"/>
        <v>275</v>
      </c>
      <c r="AI9" s="9">
        <f t="shared" si="1"/>
        <v>25</v>
      </c>
      <c r="AJ9" s="14"/>
    </row>
    <row r="10" spans="1:36" ht="25.15" customHeight="1">
      <c r="A10" s="4">
        <v>37</v>
      </c>
      <c r="B10" s="12" t="s">
        <v>18</v>
      </c>
      <c r="C10" s="10" t="s">
        <v>12</v>
      </c>
      <c r="D10" s="50" t="s">
        <v>10</v>
      </c>
      <c r="E10" s="13" t="s">
        <v>7</v>
      </c>
      <c r="F10" s="13">
        <v>11</v>
      </c>
      <c r="G10" s="13">
        <v>11</v>
      </c>
      <c r="H10" s="13">
        <v>11</v>
      </c>
      <c r="I10" s="13">
        <v>11</v>
      </c>
      <c r="J10" s="50">
        <v>11</v>
      </c>
      <c r="K10" s="50" t="s">
        <v>10</v>
      </c>
      <c r="L10" s="13">
        <v>11</v>
      </c>
      <c r="M10" s="13">
        <v>11</v>
      </c>
      <c r="N10" s="13">
        <v>11</v>
      </c>
      <c r="O10" s="13">
        <v>11</v>
      </c>
      <c r="P10" s="13">
        <v>11</v>
      </c>
      <c r="Q10" s="50">
        <v>11</v>
      </c>
      <c r="R10" s="50" t="s">
        <v>14</v>
      </c>
      <c r="S10" s="13" t="s">
        <v>9</v>
      </c>
      <c r="T10" s="13" t="s">
        <v>9</v>
      </c>
      <c r="U10" s="13" t="s">
        <v>9</v>
      </c>
      <c r="V10" s="13" t="s">
        <v>9</v>
      </c>
      <c r="W10" s="13" t="s">
        <v>9</v>
      </c>
      <c r="X10" s="50" t="s">
        <v>9</v>
      </c>
      <c r="Y10" s="50" t="s">
        <v>9</v>
      </c>
      <c r="Z10" s="13" t="s">
        <v>9</v>
      </c>
      <c r="AA10" s="13" t="s">
        <v>9</v>
      </c>
      <c r="AB10" s="13" t="s">
        <v>9</v>
      </c>
      <c r="AC10" s="13" t="s">
        <v>9</v>
      </c>
      <c r="AD10" s="13" t="s">
        <v>9</v>
      </c>
      <c r="AE10" s="50" t="s">
        <v>9</v>
      </c>
      <c r="AF10" s="50" t="s">
        <v>9</v>
      </c>
      <c r="AG10" s="13" t="s">
        <v>9</v>
      </c>
      <c r="AH10" s="9">
        <f t="shared" ref="AH10:AH19" si="2">SUM(D10:AG10)</f>
        <v>121</v>
      </c>
      <c r="AI10" s="9">
        <f t="shared" ref="AI10:AI19" si="3">COUNT(D10:AG10)</f>
        <v>11</v>
      </c>
      <c r="AJ10" s="14"/>
    </row>
    <row r="11" spans="1:36" ht="25.15" customHeight="1">
      <c r="A11" s="4">
        <v>39</v>
      </c>
      <c r="B11" s="41" t="s">
        <v>19</v>
      </c>
      <c r="C11" s="11" t="s">
        <v>12</v>
      </c>
      <c r="D11" s="50" t="s">
        <v>10</v>
      </c>
      <c r="E11" s="13">
        <v>11</v>
      </c>
      <c r="F11" s="13">
        <v>11</v>
      </c>
      <c r="G11" s="13">
        <v>11</v>
      </c>
      <c r="H11" s="13">
        <v>11</v>
      </c>
      <c r="I11" s="13">
        <v>11</v>
      </c>
      <c r="J11" s="50">
        <v>11</v>
      </c>
      <c r="K11" s="50">
        <v>11</v>
      </c>
      <c r="L11" s="13">
        <v>11</v>
      </c>
      <c r="M11" s="13">
        <v>11</v>
      </c>
      <c r="N11" s="24">
        <v>11</v>
      </c>
      <c r="O11" s="24">
        <v>11</v>
      </c>
      <c r="P11" s="24">
        <v>11</v>
      </c>
      <c r="Q11" s="51">
        <v>11</v>
      </c>
      <c r="R11" s="51" t="s">
        <v>10</v>
      </c>
      <c r="S11" s="13" t="s">
        <v>7</v>
      </c>
      <c r="T11" s="13" t="s">
        <v>7</v>
      </c>
      <c r="U11" s="13" t="s">
        <v>7</v>
      </c>
      <c r="V11" s="13" t="s">
        <v>7</v>
      </c>
      <c r="W11" s="13" t="s">
        <v>7</v>
      </c>
      <c r="X11" s="50" t="s">
        <v>7</v>
      </c>
      <c r="Y11" s="50">
        <v>11</v>
      </c>
      <c r="Z11" s="13">
        <v>11</v>
      </c>
      <c r="AA11" s="13">
        <v>11</v>
      </c>
      <c r="AB11" s="13">
        <v>11</v>
      </c>
      <c r="AC11" s="13">
        <v>11</v>
      </c>
      <c r="AD11" s="13">
        <v>11</v>
      </c>
      <c r="AE11" s="50">
        <v>11</v>
      </c>
      <c r="AF11" s="50">
        <v>11</v>
      </c>
      <c r="AG11" s="13">
        <v>11</v>
      </c>
      <c r="AH11" s="9">
        <f t="shared" si="2"/>
        <v>242</v>
      </c>
      <c r="AI11" s="9">
        <f t="shared" si="3"/>
        <v>22</v>
      </c>
      <c r="AJ11" s="14"/>
    </row>
    <row r="12" spans="1:36" ht="25.15" customHeight="1">
      <c r="A12" s="4">
        <v>45</v>
      </c>
      <c r="B12" s="41" t="s">
        <v>20</v>
      </c>
      <c r="C12" s="10" t="s">
        <v>12</v>
      </c>
      <c r="D12" s="50" t="s">
        <v>10</v>
      </c>
      <c r="E12" s="13">
        <v>11</v>
      </c>
      <c r="F12" s="13">
        <v>11</v>
      </c>
      <c r="G12" s="13">
        <v>11</v>
      </c>
      <c r="H12" s="13">
        <v>11</v>
      </c>
      <c r="I12" s="13">
        <v>11</v>
      </c>
      <c r="J12" s="50">
        <v>11</v>
      </c>
      <c r="K12" s="50" t="s">
        <v>10</v>
      </c>
      <c r="L12" s="13">
        <v>11</v>
      </c>
      <c r="M12" s="13">
        <v>11</v>
      </c>
      <c r="N12" s="24">
        <v>11</v>
      </c>
      <c r="O12" s="24">
        <v>11</v>
      </c>
      <c r="P12" s="24">
        <v>11</v>
      </c>
      <c r="Q12" s="51">
        <v>11</v>
      </c>
      <c r="R12" s="51" t="s">
        <v>10</v>
      </c>
      <c r="S12" s="24" t="s">
        <v>7</v>
      </c>
      <c r="T12" s="24">
        <v>11</v>
      </c>
      <c r="U12" s="24">
        <v>11</v>
      </c>
      <c r="V12" s="13">
        <v>11</v>
      </c>
      <c r="W12" s="13">
        <v>11</v>
      </c>
      <c r="X12" s="50">
        <v>11</v>
      </c>
      <c r="Y12" s="50" t="s">
        <v>10</v>
      </c>
      <c r="Z12" s="13">
        <v>11</v>
      </c>
      <c r="AA12" s="13">
        <v>11</v>
      </c>
      <c r="AB12" s="13">
        <v>11</v>
      </c>
      <c r="AC12" s="13">
        <v>11</v>
      </c>
      <c r="AD12" s="13">
        <v>11</v>
      </c>
      <c r="AE12" s="51">
        <v>11</v>
      </c>
      <c r="AF12" s="50" t="s">
        <v>10</v>
      </c>
      <c r="AG12" s="13">
        <v>11</v>
      </c>
      <c r="AH12" s="9">
        <f t="shared" si="2"/>
        <v>264</v>
      </c>
      <c r="AI12" s="9">
        <f t="shared" si="3"/>
        <v>24</v>
      </c>
      <c r="AJ12" s="14"/>
    </row>
    <row r="13" spans="1:36" ht="25.15" customHeight="1">
      <c r="A13" s="24">
        <v>46</v>
      </c>
      <c r="B13" s="12" t="s">
        <v>21</v>
      </c>
      <c r="C13" s="11" t="s">
        <v>12</v>
      </c>
      <c r="D13" s="50" t="s">
        <v>9</v>
      </c>
      <c r="E13" s="13" t="s">
        <v>9</v>
      </c>
      <c r="F13" s="13" t="s">
        <v>9</v>
      </c>
      <c r="G13" s="13" t="s">
        <v>9</v>
      </c>
      <c r="H13" s="13" t="s">
        <v>9</v>
      </c>
      <c r="I13" s="13" t="s">
        <v>9</v>
      </c>
      <c r="J13" s="50" t="s">
        <v>9</v>
      </c>
      <c r="K13" s="50" t="s">
        <v>9</v>
      </c>
      <c r="L13" s="13" t="s">
        <v>9</v>
      </c>
      <c r="M13" s="13" t="s">
        <v>9</v>
      </c>
      <c r="N13" s="13" t="s">
        <v>9</v>
      </c>
      <c r="O13" s="13" t="s">
        <v>9</v>
      </c>
      <c r="P13" s="13" t="s">
        <v>9</v>
      </c>
      <c r="Q13" s="50" t="s">
        <v>14</v>
      </c>
      <c r="R13" s="50">
        <v>11</v>
      </c>
      <c r="S13" s="13">
        <v>11</v>
      </c>
      <c r="T13" s="13">
        <v>11</v>
      </c>
      <c r="U13" s="13">
        <v>11</v>
      </c>
      <c r="V13" s="13">
        <v>11</v>
      </c>
      <c r="W13" s="13">
        <v>11</v>
      </c>
      <c r="X13" s="50">
        <v>11</v>
      </c>
      <c r="Y13" s="50" t="s">
        <v>10</v>
      </c>
      <c r="Z13" s="13">
        <v>11</v>
      </c>
      <c r="AA13" s="13">
        <v>11</v>
      </c>
      <c r="AB13" s="13">
        <v>11</v>
      </c>
      <c r="AC13" s="13">
        <v>11</v>
      </c>
      <c r="AD13" s="13">
        <v>11</v>
      </c>
      <c r="AE13" s="50">
        <v>11</v>
      </c>
      <c r="AF13" s="50">
        <v>11</v>
      </c>
      <c r="AG13" s="13">
        <v>11</v>
      </c>
      <c r="AH13" s="9">
        <f t="shared" si="2"/>
        <v>165</v>
      </c>
      <c r="AI13" s="9">
        <f t="shared" si="3"/>
        <v>15</v>
      </c>
      <c r="AJ13" s="14"/>
    </row>
    <row r="14" spans="1:36" ht="25.15" customHeight="1">
      <c r="A14" s="4">
        <v>47</v>
      </c>
      <c r="B14" s="12" t="s">
        <v>22</v>
      </c>
      <c r="C14" s="11" t="s">
        <v>12</v>
      </c>
      <c r="D14" s="50" t="s">
        <v>9</v>
      </c>
      <c r="E14" s="13" t="s">
        <v>9</v>
      </c>
      <c r="F14" s="13" t="s">
        <v>9</v>
      </c>
      <c r="G14" s="13" t="s">
        <v>9</v>
      </c>
      <c r="H14" s="13" t="s">
        <v>9</v>
      </c>
      <c r="I14" s="13" t="s">
        <v>9</v>
      </c>
      <c r="J14" s="50" t="s">
        <v>9</v>
      </c>
      <c r="K14" s="50" t="s">
        <v>9</v>
      </c>
      <c r="L14" s="24" t="s">
        <v>9</v>
      </c>
      <c r="M14" s="24" t="s">
        <v>9</v>
      </c>
      <c r="N14" s="13" t="s">
        <v>9</v>
      </c>
      <c r="O14" s="13" t="s">
        <v>9</v>
      </c>
      <c r="P14" s="13" t="s">
        <v>9</v>
      </c>
      <c r="Q14" s="51" t="s">
        <v>9</v>
      </c>
      <c r="R14" s="51" t="s">
        <v>9</v>
      </c>
      <c r="S14" s="13" t="s">
        <v>9</v>
      </c>
      <c r="T14" s="13" t="s">
        <v>9</v>
      </c>
      <c r="U14" s="13" t="s">
        <v>9</v>
      </c>
      <c r="V14" s="13" t="s">
        <v>9</v>
      </c>
      <c r="W14" s="13" t="s">
        <v>9</v>
      </c>
      <c r="X14" s="50" t="s">
        <v>9</v>
      </c>
      <c r="Y14" s="51" t="s">
        <v>9</v>
      </c>
      <c r="Z14" s="24" t="s">
        <v>9</v>
      </c>
      <c r="AA14" s="24" t="s">
        <v>9</v>
      </c>
      <c r="AB14" s="24" t="s">
        <v>9</v>
      </c>
      <c r="AC14" s="24" t="s">
        <v>9</v>
      </c>
      <c r="AD14" s="24" t="s">
        <v>9</v>
      </c>
      <c r="AE14" s="51" t="s">
        <v>9</v>
      </c>
      <c r="AF14" s="50" t="s">
        <v>9</v>
      </c>
      <c r="AG14" s="13" t="s">
        <v>9</v>
      </c>
      <c r="AH14" s="9">
        <f t="shared" si="2"/>
        <v>0</v>
      </c>
      <c r="AI14" s="9">
        <f t="shared" si="3"/>
        <v>0</v>
      </c>
      <c r="AJ14" s="14"/>
    </row>
    <row r="15" spans="1:36" ht="25.15" customHeight="1">
      <c r="A15" s="24">
        <v>48</v>
      </c>
      <c r="B15" s="8" t="s">
        <v>23</v>
      </c>
      <c r="C15" s="10" t="s">
        <v>12</v>
      </c>
      <c r="D15" s="50" t="s">
        <v>9</v>
      </c>
      <c r="E15" s="13" t="s">
        <v>9</v>
      </c>
      <c r="F15" s="13" t="s">
        <v>9</v>
      </c>
      <c r="G15" s="13" t="s">
        <v>9</v>
      </c>
      <c r="H15" s="13" t="s">
        <v>9</v>
      </c>
      <c r="I15" s="13" t="s">
        <v>9</v>
      </c>
      <c r="J15" s="50" t="s">
        <v>9</v>
      </c>
      <c r="K15" s="50" t="s">
        <v>9</v>
      </c>
      <c r="L15" s="24" t="s">
        <v>9</v>
      </c>
      <c r="M15" s="24" t="s">
        <v>9</v>
      </c>
      <c r="N15" s="13" t="s">
        <v>9</v>
      </c>
      <c r="O15" s="13" t="s">
        <v>9</v>
      </c>
      <c r="P15" s="13" t="s">
        <v>9</v>
      </c>
      <c r="Q15" s="51" t="s">
        <v>9</v>
      </c>
      <c r="R15" s="51" t="s">
        <v>9</v>
      </c>
      <c r="S15" s="13" t="s">
        <v>9</v>
      </c>
      <c r="T15" s="13" t="s">
        <v>9</v>
      </c>
      <c r="U15" s="13" t="s">
        <v>9</v>
      </c>
      <c r="V15" s="13" t="s">
        <v>9</v>
      </c>
      <c r="W15" s="13" t="s">
        <v>9</v>
      </c>
      <c r="X15" s="50" t="s">
        <v>9</v>
      </c>
      <c r="Y15" s="51" t="s">
        <v>9</v>
      </c>
      <c r="Z15" s="24" t="s">
        <v>9</v>
      </c>
      <c r="AA15" s="24" t="s">
        <v>9</v>
      </c>
      <c r="AB15" s="24" t="s">
        <v>9</v>
      </c>
      <c r="AC15" s="24" t="s">
        <v>9</v>
      </c>
      <c r="AD15" s="24" t="s">
        <v>9</v>
      </c>
      <c r="AE15" s="51" t="s">
        <v>9</v>
      </c>
      <c r="AF15" s="50" t="s">
        <v>9</v>
      </c>
      <c r="AG15" s="13" t="s">
        <v>9</v>
      </c>
      <c r="AH15" s="9">
        <f t="shared" si="2"/>
        <v>0</v>
      </c>
      <c r="AI15" s="9">
        <f t="shared" si="3"/>
        <v>0</v>
      </c>
      <c r="AJ15" s="14"/>
    </row>
    <row r="16" spans="1:36" ht="25.15" customHeight="1">
      <c r="A16" s="4">
        <v>51</v>
      </c>
      <c r="B16" s="12" t="s">
        <v>24</v>
      </c>
      <c r="C16" s="11" t="s">
        <v>12</v>
      </c>
      <c r="D16" s="50">
        <v>11</v>
      </c>
      <c r="E16" s="13">
        <v>11</v>
      </c>
      <c r="F16" s="13">
        <v>11</v>
      </c>
      <c r="G16" s="13">
        <v>11</v>
      </c>
      <c r="H16" s="13">
        <v>11</v>
      </c>
      <c r="I16" s="13">
        <v>11</v>
      </c>
      <c r="J16" s="50">
        <v>11</v>
      </c>
      <c r="K16" s="50" t="s">
        <v>10</v>
      </c>
      <c r="L16" s="24">
        <v>11</v>
      </c>
      <c r="M16" s="24">
        <v>11</v>
      </c>
      <c r="N16" s="24">
        <v>11</v>
      </c>
      <c r="O16" s="24">
        <v>11</v>
      </c>
      <c r="P16" s="24">
        <v>11</v>
      </c>
      <c r="Q16" s="51">
        <v>11</v>
      </c>
      <c r="R16" s="51">
        <v>11</v>
      </c>
      <c r="S16" s="24">
        <v>11</v>
      </c>
      <c r="T16" s="24">
        <v>11</v>
      </c>
      <c r="U16" s="24">
        <v>11</v>
      </c>
      <c r="V16" s="13">
        <v>11</v>
      </c>
      <c r="W16" s="13">
        <v>11</v>
      </c>
      <c r="X16" s="50">
        <v>11</v>
      </c>
      <c r="Y16" s="50" t="s">
        <v>10</v>
      </c>
      <c r="Z16" s="13" t="s">
        <v>7</v>
      </c>
      <c r="AA16" s="13">
        <v>11</v>
      </c>
      <c r="AB16" s="13">
        <v>11</v>
      </c>
      <c r="AC16" s="13">
        <v>11</v>
      </c>
      <c r="AD16" s="13">
        <v>11</v>
      </c>
      <c r="AE16" s="50">
        <v>11</v>
      </c>
      <c r="AF16" s="50">
        <v>11</v>
      </c>
      <c r="AG16" s="13">
        <v>11</v>
      </c>
      <c r="AH16" s="9">
        <f t="shared" si="2"/>
        <v>297</v>
      </c>
      <c r="AI16" s="9">
        <f t="shared" si="3"/>
        <v>27</v>
      </c>
      <c r="AJ16" s="14"/>
    </row>
    <row r="17" spans="1:36" ht="25.15" customHeight="1">
      <c r="A17" s="24">
        <v>52</v>
      </c>
      <c r="B17" s="12" t="s">
        <v>25</v>
      </c>
      <c r="C17" s="11" t="s">
        <v>12</v>
      </c>
      <c r="D17" s="50">
        <v>11</v>
      </c>
      <c r="E17" s="13">
        <v>11</v>
      </c>
      <c r="F17" s="13">
        <v>11</v>
      </c>
      <c r="G17" s="13">
        <v>11</v>
      </c>
      <c r="H17" s="13">
        <v>11</v>
      </c>
      <c r="I17" s="13">
        <v>11</v>
      </c>
      <c r="J17" s="50">
        <v>11</v>
      </c>
      <c r="K17" s="50" t="s">
        <v>10</v>
      </c>
      <c r="L17" s="13">
        <v>11</v>
      </c>
      <c r="M17" s="13">
        <v>11</v>
      </c>
      <c r="N17" s="24">
        <v>11</v>
      </c>
      <c r="O17" s="24">
        <v>11</v>
      </c>
      <c r="P17" s="24">
        <v>11</v>
      </c>
      <c r="Q17" s="51">
        <v>11</v>
      </c>
      <c r="R17" s="51">
        <v>11</v>
      </c>
      <c r="S17" s="24">
        <v>11</v>
      </c>
      <c r="T17" s="24">
        <v>11</v>
      </c>
      <c r="U17" s="24">
        <v>11</v>
      </c>
      <c r="V17" s="13">
        <v>11</v>
      </c>
      <c r="W17" s="13">
        <v>11</v>
      </c>
      <c r="X17" s="50">
        <v>11</v>
      </c>
      <c r="Y17" s="50" t="s">
        <v>10</v>
      </c>
      <c r="Z17" s="13">
        <v>11</v>
      </c>
      <c r="AA17" s="13">
        <v>11</v>
      </c>
      <c r="AB17" s="13">
        <v>11</v>
      </c>
      <c r="AC17" s="13">
        <v>11</v>
      </c>
      <c r="AD17" s="13">
        <v>11</v>
      </c>
      <c r="AE17" s="50">
        <v>11</v>
      </c>
      <c r="AF17" s="50">
        <v>11</v>
      </c>
      <c r="AG17" s="13">
        <v>11</v>
      </c>
      <c r="AH17" s="9">
        <f t="shared" si="2"/>
        <v>308</v>
      </c>
      <c r="AI17" s="9">
        <f t="shared" si="3"/>
        <v>28</v>
      </c>
      <c r="AJ17" s="14"/>
    </row>
    <row r="18" spans="1:36" ht="25.15" customHeight="1">
      <c r="A18" s="24">
        <v>58</v>
      </c>
      <c r="B18" s="6" t="s">
        <v>26</v>
      </c>
      <c r="C18" s="18" t="s">
        <v>12</v>
      </c>
      <c r="D18" s="52" t="s">
        <v>9</v>
      </c>
      <c r="E18" s="53" t="s">
        <v>9</v>
      </c>
      <c r="F18" s="53" t="s">
        <v>9</v>
      </c>
      <c r="G18" s="13" t="s">
        <v>9</v>
      </c>
      <c r="H18" s="13" t="s">
        <v>9</v>
      </c>
      <c r="I18" s="13" t="s">
        <v>9</v>
      </c>
      <c r="J18" s="50" t="s">
        <v>9</v>
      </c>
      <c r="K18" s="50" t="s">
        <v>9</v>
      </c>
      <c r="L18" s="24" t="s">
        <v>9</v>
      </c>
      <c r="M18" s="24" t="s">
        <v>9</v>
      </c>
      <c r="N18" s="13" t="s">
        <v>9</v>
      </c>
      <c r="O18" s="13" t="s">
        <v>9</v>
      </c>
      <c r="P18" s="13" t="s">
        <v>9</v>
      </c>
      <c r="Q18" s="51" t="s">
        <v>9</v>
      </c>
      <c r="R18" s="51" t="s">
        <v>9</v>
      </c>
      <c r="S18" s="13" t="s">
        <v>9</v>
      </c>
      <c r="T18" s="13" t="s">
        <v>9</v>
      </c>
      <c r="U18" s="13" t="s">
        <v>9</v>
      </c>
      <c r="V18" s="13" t="s">
        <v>9</v>
      </c>
      <c r="W18" s="13" t="s">
        <v>9</v>
      </c>
      <c r="X18" s="50" t="s">
        <v>9</v>
      </c>
      <c r="Y18" s="51" t="s">
        <v>9</v>
      </c>
      <c r="Z18" s="24" t="s">
        <v>9</v>
      </c>
      <c r="AA18" s="24" t="s">
        <v>9</v>
      </c>
      <c r="AB18" s="24" t="s">
        <v>9</v>
      </c>
      <c r="AC18" s="24" t="s">
        <v>9</v>
      </c>
      <c r="AD18" s="24" t="s">
        <v>9</v>
      </c>
      <c r="AE18" s="51" t="s">
        <v>9</v>
      </c>
      <c r="AF18" s="50" t="s">
        <v>9</v>
      </c>
      <c r="AG18" s="13" t="s">
        <v>9</v>
      </c>
      <c r="AH18" s="7">
        <f t="shared" si="2"/>
        <v>0</v>
      </c>
      <c r="AI18" s="7">
        <f t="shared" si="3"/>
        <v>0</v>
      </c>
      <c r="AJ18" s="14"/>
    </row>
    <row r="19" spans="1:36" ht="25.15" customHeight="1">
      <c r="A19" s="4">
        <v>59</v>
      </c>
      <c r="B19" s="8" t="s">
        <v>27</v>
      </c>
      <c r="C19" s="10" t="s">
        <v>12</v>
      </c>
      <c r="D19" s="50" t="s">
        <v>9</v>
      </c>
      <c r="E19" s="13" t="s">
        <v>9</v>
      </c>
      <c r="F19" s="13" t="s">
        <v>9</v>
      </c>
      <c r="G19" s="13" t="s">
        <v>9</v>
      </c>
      <c r="H19" s="13" t="s">
        <v>9</v>
      </c>
      <c r="I19" s="13" t="s">
        <v>9</v>
      </c>
      <c r="J19" s="50" t="s">
        <v>9</v>
      </c>
      <c r="K19" s="50" t="s">
        <v>9</v>
      </c>
      <c r="L19" s="24" t="s">
        <v>9</v>
      </c>
      <c r="M19" s="24" t="s">
        <v>9</v>
      </c>
      <c r="N19" s="13" t="s">
        <v>9</v>
      </c>
      <c r="O19" s="13" t="s">
        <v>9</v>
      </c>
      <c r="P19" s="13" t="s">
        <v>9</v>
      </c>
      <c r="Q19" s="51" t="s">
        <v>9</v>
      </c>
      <c r="R19" s="51" t="s">
        <v>9</v>
      </c>
      <c r="S19" s="13" t="s">
        <v>9</v>
      </c>
      <c r="T19" s="13" t="s">
        <v>9</v>
      </c>
      <c r="U19" s="13" t="s">
        <v>9</v>
      </c>
      <c r="V19" s="13" t="s">
        <v>9</v>
      </c>
      <c r="W19" s="13" t="s">
        <v>9</v>
      </c>
      <c r="X19" s="50" t="s">
        <v>9</v>
      </c>
      <c r="Y19" s="51" t="s">
        <v>9</v>
      </c>
      <c r="Z19" s="24" t="s">
        <v>9</v>
      </c>
      <c r="AA19" s="24" t="s">
        <v>9</v>
      </c>
      <c r="AB19" s="24" t="s">
        <v>9</v>
      </c>
      <c r="AC19" s="24" t="s">
        <v>9</v>
      </c>
      <c r="AD19" s="24" t="s">
        <v>9</v>
      </c>
      <c r="AE19" s="51" t="s">
        <v>9</v>
      </c>
      <c r="AF19" s="50" t="s">
        <v>9</v>
      </c>
      <c r="AG19" s="13" t="s">
        <v>9</v>
      </c>
      <c r="AH19" s="9">
        <f t="shared" si="2"/>
        <v>0</v>
      </c>
      <c r="AI19" s="9">
        <f t="shared" si="3"/>
        <v>0</v>
      </c>
      <c r="AJ19" s="14"/>
    </row>
    <row r="20" spans="1:36" ht="25.15" customHeight="1">
      <c r="A20" s="24">
        <v>70</v>
      </c>
      <c r="B20" s="8" t="s">
        <v>28</v>
      </c>
      <c r="C20" s="10" t="s">
        <v>12</v>
      </c>
      <c r="D20" s="50" t="s">
        <v>9</v>
      </c>
      <c r="E20" s="13" t="s">
        <v>9</v>
      </c>
      <c r="F20" s="13" t="s">
        <v>9</v>
      </c>
      <c r="G20" s="13" t="s">
        <v>9</v>
      </c>
      <c r="H20" s="13" t="s">
        <v>9</v>
      </c>
      <c r="I20" s="13" t="s">
        <v>9</v>
      </c>
      <c r="J20" s="50" t="s">
        <v>9</v>
      </c>
      <c r="K20" s="56" t="s">
        <v>14</v>
      </c>
      <c r="L20" s="56" t="s">
        <v>7</v>
      </c>
      <c r="M20" s="56" t="s">
        <v>7</v>
      </c>
      <c r="N20" s="13" t="s">
        <v>7</v>
      </c>
      <c r="O20" s="13">
        <v>11</v>
      </c>
      <c r="P20" s="13">
        <v>11</v>
      </c>
      <c r="Q20" s="50" t="s">
        <v>10</v>
      </c>
      <c r="R20" s="50">
        <v>11</v>
      </c>
      <c r="S20" s="13">
        <v>11</v>
      </c>
      <c r="T20" s="13">
        <v>11</v>
      </c>
      <c r="U20" s="13">
        <v>11</v>
      </c>
      <c r="V20" s="13">
        <v>11</v>
      </c>
      <c r="W20" s="13">
        <v>11</v>
      </c>
      <c r="X20" s="50">
        <v>11</v>
      </c>
      <c r="Y20" s="50">
        <v>11</v>
      </c>
      <c r="Z20" s="13">
        <v>11</v>
      </c>
      <c r="AA20" s="13">
        <v>11</v>
      </c>
      <c r="AB20" s="13">
        <v>11</v>
      </c>
      <c r="AC20" s="13">
        <v>11</v>
      </c>
      <c r="AD20" s="13">
        <v>11</v>
      </c>
      <c r="AE20" s="50" t="s">
        <v>10</v>
      </c>
      <c r="AF20" s="50">
        <v>11</v>
      </c>
      <c r="AG20" s="13">
        <v>11</v>
      </c>
      <c r="AH20" s="9">
        <f t="shared" ref="AH20:AH26" si="4">SUM(D20:AG20)</f>
        <v>187</v>
      </c>
      <c r="AI20" s="9">
        <f t="shared" ref="AI20:AI26" si="5">COUNT(D20:AG20)</f>
        <v>17</v>
      </c>
      <c r="AJ20" s="14"/>
    </row>
    <row r="21" spans="1:36" ht="25.15" customHeight="1">
      <c r="A21" s="24">
        <v>72</v>
      </c>
      <c r="B21" s="12" t="s">
        <v>29</v>
      </c>
      <c r="C21" s="10" t="s">
        <v>12</v>
      </c>
      <c r="D21" s="50">
        <v>11</v>
      </c>
      <c r="E21" s="13">
        <v>11</v>
      </c>
      <c r="F21" s="13">
        <v>11</v>
      </c>
      <c r="G21" s="13">
        <v>11</v>
      </c>
      <c r="H21" s="13">
        <v>11</v>
      </c>
      <c r="I21" s="13">
        <v>11</v>
      </c>
      <c r="J21" s="50">
        <v>11</v>
      </c>
      <c r="K21" s="51" t="s">
        <v>10</v>
      </c>
      <c r="L21" s="24">
        <v>11</v>
      </c>
      <c r="M21" s="24">
        <v>11</v>
      </c>
      <c r="N21" s="24">
        <v>11</v>
      </c>
      <c r="O21" s="24">
        <v>11</v>
      </c>
      <c r="P21" s="24">
        <v>11</v>
      </c>
      <c r="Q21" s="51">
        <v>11</v>
      </c>
      <c r="R21" s="51">
        <v>11</v>
      </c>
      <c r="S21" s="24">
        <v>11</v>
      </c>
      <c r="T21" s="24">
        <v>11</v>
      </c>
      <c r="U21" s="24">
        <v>11</v>
      </c>
      <c r="V21" s="13">
        <v>11</v>
      </c>
      <c r="W21" s="13">
        <v>11</v>
      </c>
      <c r="X21" s="50">
        <v>11</v>
      </c>
      <c r="Y21" s="50" t="s">
        <v>10</v>
      </c>
      <c r="Z21" s="13">
        <v>11</v>
      </c>
      <c r="AA21" s="13">
        <v>11</v>
      </c>
      <c r="AB21" s="13">
        <v>11</v>
      </c>
      <c r="AC21" s="13">
        <v>11</v>
      </c>
      <c r="AD21" s="13">
        <v>11</v>
      </c>
      <c r="AE21" s="50">
        <v>11</v>
      </c>
      <c r="AF21" s="50">
        <v>11</v>
      </c>
      <c r="AG21" s="13">
        <v>11</v>
      </c>
      <c r="AH21" s="9">
        <f t="shared" si="4"/>
        <v>308</v>
      </c>
      <c r="AI21" s="9">
        <f t="shared" si="5"/>
        <v>28</v>
      </c>
      <c r="AJ21" s="14"/>
    </row>
    <row r="22" spans="1:36" ht="25.15" customHeight="1">
      <c r="A22" s="24">
        <v>76</v>
      </c>
      <c r="B22" s="8" t="s">
        <v>30</v>
      </c>
      <c r="C22" s="11" t="s">
        <v>12</v>
      </c>
      <c r="D22" s="50" t="s">
        <v>9</v>
      </c>
      <c r="E22" s="13" t="s">
        <v>9</v>
      </c>
      <c r="F22" s="13" t="s">
        <v>9</v>
      </c>
      <c r="G22" s="13" t="s">
        <v>9</v>
      </c>
      <c r="H22" s="13" t="s">
        <v>9</v>
      </c>
      <c r="I22" s="13" t="s">
        <v>9</v>
      </c>
      <c r="J22" s="50" t="s">
        <v>9</v>
      </c>
      <c r="K22" s="50" t="s">
        <v>9</v>
      </c>
      <c r="L22" s="24" t="s">
        <v>9</v>
      </c>
      <c r="M22" s="24" t="s">
        <v>9</v>
      </c>
      <c r="N22" s="13" t="s">
        <v>9</v>
      </c>
      <c r="O22" s="13" t="s">
        <v>9</v>
      </c>
      <c r="P22" s="13" t="s">
        <v>9</v>
      </c>
      <c r="Q22" s="51" t="s">
        <v>9</v>
      </c>
      <c r="R22" s="51" t="s">
        <v>9</v>
      </c>
      <c r="S22" s="13" t="s">
        <v>9</v>
      </c>
      <c r="T22" s="13" t="s">
        <v>9</v>
      </c>
      <c r="U22" s="13" t="s">
        <v>9</v>
      </c>
      <c r="V22" s="13" t="s">
        <v>9</v>
      </c>
      <c r="W22" s="13" t="s">
        <v>9</v>
      </c>
      <c r="X22" s="50" t="s">
        <v>9</v>
      </c>
      <c r="Y22" s="51" t="s">
        <v>9</v>
      </c>
      <c r="Z22" s="24" t="s">
        <v>9</v>
      </c>
      <c r="AA22" s="24" t="s">
        <v>9</v>
      </c>
      <c r="AB22" s="24" t="s">
        <v>9</v>
      </c>
      <c r="AC22" s="24" t="s">
        <v>9</v>
      </c>
      <c r="AD22" s="24" t="s">
        <v>9</v>
      </c>
      <c r="AE22" s="51" t="s">
        <v>9</v>
      </c>
      <c r="AF22" s="50" t="s">
        <v>9</v>
      </c>
      <c r="AG22" s="13" t="s">
        <v>9</v>
      </c>
      <c r="AH22" s="9">
        <f t="shared" si="4"/>
        <v>0</v>
      </c>
      <c r="AI22" s="9">
        <f t="shared" si="5"/>
        <v>0</v>
      </c>
      <c r="AJ22" s="14"/>
    </row>
    <row r="23" spans="1:36" ht="25.15" customHeight="1">
      <c r="A23" s="24">
        <v>86</v>
      </c>
      <c r="B23" s="12" t="s">
        <v>31</v>
      </c>
      <c r="C23" s="10" t="s">
        <v>12</v>
      </c>
      <c r="D23" s="51" t="s">
        <v>9</v>
      </c>
      <c r="E23" s="24" t="s">
        <v>9</v>
      </c>
      <c r="F23" s="24" t="s">
        <v>9</v>
      </c>
      <c r="G23" s="13" t="s">
        <v>9</v>
      </c>
      <c r="H23" s="13" t="s">
        <v>9</v>
      </c>
      <c r="I23" s="13" t="s">
        <v>9</v>
      </c>
      <c r="J23" s="50" t="s">
        <v>9</v>
      </c>
      <c r="K23" s="50" t="s">
        <v>9</v>
      </c>
      <c r="L23" s="24" t="s">
        <v>9</v>
      </c>
      <c r="M23" s="24" t="s">
        <v>9</v>
      </c>
      <c r="N23" s="13" t="s">
        <v>9</v>
      </c>
      <c r="O23" s="13" t="s">
        <v>9</v>
      </c>
      <c r="P23" s="13" t="s">
        <v>9</v>
      </c>
      <c r="Q23" s="51" t="s">
        <v>9</v>
      </c>
      <c r="R23" s="51" t="s">
        <v>9</v>
      </c>
      <c r="S23" s="13" t="s">
        <v>9</v>
      </c>
      <c r="T23" s="13" t="s">
        <v>9</v>
      </c>
      <c r="U23" s="13" t="s">
        <v>9</v>
      </c>
      <c r="V23" s="13" t="s">
        <v>9</v>
      </c>
      <c r="W23" s="13" t="s">
        <v>9</v>
      </c>
      <c r="X23" s="50" t="s">
        <v>9</v>
      </c>
      <c r="Y23" s="51" t="s">
        <v>9</v>
      </c>
      <c r="Z23" s="24" t="s">
        <v>9</v>
      </c>
      <c r="AA23" s="24" t="s">
        <v>9</v>
      </c>
      <c r="AB23" s="24" t="s">
        <v>9</v>
      </c>
      <c r="AC23" s="24" t="s">
        <v>9</v>
      </c>
      <c r="AD23" s="24" t="s">
        <v>9</v>
      </c>
      <c r="AE23" s="51" t="s">
        <v>9</v>
      </c>
      <c r="AF23" s="50" t="s">
        <v>9</v>
      </c>
      <c r="AG23" s="13" t="s">
        <v>9</v>
      </c>
      <c r="AH23" s="9">
        <f t="shared" si="4"/>
        <v>0</v>
      </c>
      <c r="AI23" s="9">
        <f t="shared" si="5"/>
        <v>0</v>
      </c>
      <c r="AJ23" s="14"/>
    </row>
    <row r="24" spans="1:36" ht="25.15" customHeight="1">
      <c r="A24" s="24">
        <v>88</v>
      </c>
      <c r="B24" s="12" t="s">
        <v>32</v>
      </c>
      <c r="C24" s="10" t="s">
        <v>12</v>
      </c>
      <c r="D24" s="51" t="s">
        <v>9</v>
      </c>
      <c r="E24" s="24" t="s">
        <v>9</v>
      </c>
      <c r="F24" s="24" t="s">
        <v>9</v>
      </c>
      <c r="G24" s="13" t="s">
        <v>9</v>
      </c>
      <c r="H24" s="13" t="s">
        <v>9</v>
      </c>
      <c r="I24" s="13" t="s">
        <v>9</v>
      </c>
      <c r="J24" s="50" t="s">
        <v>9</v>
      </c>
      <c r="K24" s="50" t="s">
        <v>9</v>
      </c>
      <c r="L24" s="24" t="s">
        <v>9</v>
      </c>
      <c r="M24" s="24" t="s">
        <v>9</v>
      </c>
      <c r="N24" s="13" t="s">
        <v>9</v>
      </c>
      <c r="O24" s="13" t="s">
        <v>9</v>
      </c>
      <c r="P24" s="13" t="s">
        <v>9</v>
      </c>
      <c r="Q24" s="51" t="s">
        <v>9</v>
      </c>
      <c r="R24" s="51" t="s">
        <v>9</v>
      </c>
      <c r="S24" s="13" t="s">
        <v>9</v>
      </c>
      <c r="T24" s="13" t="s">
        <v>9</v>
      </c>
      <c r="U24" s="13" t="s">
        <v>9</v>
      </c>
      <c r="V24" s="13" t="s">
        <v>9</v>
      </c>
      <c r="W24" s="13" t="s">
        <v>9</v>
      </c>
      <c r="X24" s="50" t="s">
        <v>9</v>
      </c>
      <c r="Y24" s="51" t="s">
        <v>9</v>
      </c>
      <c r="Z24" s="24" t="s">
        <v>9</v>
      </c>
      <c r="AA24" s="24" t="s">
        <v>9</v>
      </c>
      <c r="AB24" s="24" t="s">
        <v>9</v>
      </c>
      <c r="AC24" s="24" t="s">
        <v>9</v>
      </c>
      <c r="AD24" s="24" t="s">
        <v>9</v>
      </c>
      <c r="AE24" s="51" t="s">
        <v>9</v>
      </c>
      <c r="AF24" s="50" t="s">
        <v>9</v>
      </c>
      <c r="AG24" s="13" t="s">
        <v>9</v>
      </c>
      <c r="AH24" s="9">
        <f t="shared" si="4"/>
        <v>0</v>
      </c>
      <c r="AI24" s="9">
        <f t="shared" si="5"/>
        <v>0</v>
      </c>
      <c r="AJ24" s="14"/>
    </row>
    <row r="25" spans="1:36" ht="25.15" customHeight="1">
      <c r="A25" s="4">
        <v>89</v>
      </c>
      <c r="B25" s="12" t="s">
        <v>33</v>
      </c>
      <c r="C25" s="11" t="s">
        <v>12</v>
      </c>
      <c r="D25" s="51" t="s">
        <v>10</v>
      </c>
      <c r="E25" s="24">
        <v>11</v>
      </c>
      <c r="F25" s="24">
        <v>11</v>
      </c>
      <c r="G25" s="24" t="s">
        <v>7</v>
      </c>
      <c r="H25" s="24">
        <v>11</v>
      </c>
      <c r="I25" s="24">
        <v>11</v>
      </c>
      <c r="J25" s="51">
        <v>11</v>
      </c>
      <c r="K25" s="51" t="s">
        <v>10</v>
      </c>
      <c r="L25" s="24">
        <v>11</v>
      </c>
      <c r="M25" s="24">
        <v>11</v>
      </c>
      <c r="N25" s="24">
        <v>11</v>
      </c>
      <c r="O25" s="24">
        <v>11</v>
      </c>
      <c r="P25" s="24">
        <v>11</v>
      </c>
      <c r="Q25" s="51">
        <v>11</v>
      </c>
      <c r="R25" s="51" t="s">
        <v>14</v>
      </c>
      <c r="S25" s="24" t="s">
        <v>9</v>
      </c>
      <c r="T25" s="24" t="s">
        <v>9</v>
      </c>
      <c r="U25" s="24" t="s">
        <v>9</v>
      </c>
      <c r="V25" s="24" t="s">
        <v>9</v>
      </c>
      <c r="W25" s="24" t="s">
        <v>9</v>
      </c>
      <c r="X25" s="51" t="s">
        <v>9</v>
      </c>
      <c r="Y25" s="51" t="s">
        <v>9</v>
      </c>
      <c r="Z25" s="24" t="s">
        <v>9</v>
      </c>
      <c r="AA25" s="24" t="s">
        <v>9</v>
      </c>
      <c r="AB25" s="24" t="s">
        <v>9</v>
      </c>
      <c r="AC25" s="24" t="s">
        <v>9</v>
      </c>
      <c r="AD25" s="24" t="s">
        <v>9</v>
      </c>
      <c r="AE25" s="51" t="s">
        <v>9</v>
      </c>
      <c r="AF25" s="51" t="s">
        <v>9</v>
      </c>
      <c r="AG25" s="24" t="s">
        <v>9</v>
      </c>
      <c r="AH25" s="9">
        <f t="shared" si="4"/>
        <v>121</v>
      </c>
      <c r="AI25" s="9">
        <f t="shared" si="5"/>
        <v>11</v>
      </c>
      <c r="AJ25" s="14"/>
    </row>
    <row r="26" spans="1:36" ht="25.15" customHeight="1">
      <c r="A26" s="24">
        <v>96</v>
      </c>
      <c r="B26" s="39" t="s">
        <v>34</v>
      </c>
      <c r="C26" s="11" t="s">
        <v>12</v>
      </c>
      <c r="D26" s="51" t="s">
        <v>9</v>
      </c>
      <c r="E26" s="24" t="s">
        <v>9</v>
      </c>
      <c r="F26" s="24" t="s">
        <v>9</v>
      </c>
      <c r="G26" s="13" t="s">
        <v>9</v>
      </c>
      <c r="H26" s="13" t="s">
        <v>9</v>
      </c>
      <c r="I26" s="13" t="s">
        <v>9</v>
      </c>
      <c r="J26" s="50" t="s">
        <v>9</v>
      </c>
      <c r="K26" s="50" t="s">
        <v>9</v>
      </c>
      <c r="L26" s="24" t="s">
        <v>9</v>
      </c>
      <c r="M26" s="24" t="s">
        <v>9</v>
      </c>
      <c r="N26" s="13" t="s">
        <v>9</v>
      </c>
      <c r="O26" s="13" t="s">
        <v>9</v>
      </c>
      <c r="P26" s="13" t="s">
        <v>9</v>
      </c>
      <c r="Q26" s="51" t="s">
        <v>9</v>
      </c>
      <c r="R26" s="51" t="s">
        <v>9</v>
      </c>
      <c r="S26" s="13" t="s">
        <v>9</v>
      </c>
      <c r="T26" s="13" t="s">
        <v>9</v>
      </c>
      <c r="U26" s="13" t="s">
        <v>9</v>
      </c>
      <c r="V26" s="13" t="s">
        <v>9</v>
      </c>
      <c r="W26" s="13" t="s">
        <v>9</v>
      </c>
      <c r="X26" s="50" t="s">
        <v>9</v>
      </c>
      <c r="Y26" s="51" t="s">
        <v>9</v>
      </c>
      <c r="Z26" s="24" t="s">
        <v>9</v>
      </c>
      <c r="AA26" s="24" t="s">
        <v>9</v>
      </c>
      <c r="AB26" s="24" t="s">
        <v>9</v>
      </c>
      <c r="AC26" s="24" t="s">
        <v>9</v>
      </c>
      <c r="AD26" s="24" t="s">
        <v>9</v>
      </c>
      <c r="AE26" s="51" t="s">
        <v>9</v>
      </c>
      <c r="AF26" s="50" t="s">
        <v>9</v>
      </c>
      <c r="AG26" s="13" t="s">
        <v>9</v>
      </c>
      <c r="AH26" s="9">
        <f t="shared" si="4"/>
        <v>0</v>
      </c>
      <c r="AI26" s="9">
        <f t="shared" si="5"/>
        <v>0</v>
      </c>
      <c r="AJ26" s="14"/>
    </row>
    <row r="27" spans="1:36" ht="25.15" customHeight="1">
      <c r="A27" s="4">
        <v>101</v>
      </c>
      <c r="B27" s="39" t="s">
        <v>35</v>
      </c>
      <c r="C27" s="43" t="s">
        <v>12</v>
      </c>
      <c r="D27" s="51" t="s">
        <v>10</v>
      </c>
      <c r="E27" s="24">
        <v>11</v>
      </c>
      <c r="F27" s="24">
        <v>11</v>
      </c>
      <c r="G27" s="24">
        <v>11</v>
      </c>
      <c r="H27" s="24" t="s">
        <v>7</v>
      </c>
      <c r="I27" s="24">
        <v>11</v>
      </c>
      <c r="J27" s="51" t="s">
        <v>10</v>
      </c>
      <c r="K27" s="51" t="s">
        <v>14</v>
      </c>
      <c r="L27" s="24" t="s">
        <v>9</v>
      </c>
      <c r="M27" s="24" t="s">
        <v>9</v>
      </c>
      <c r="N27" s="13" t="s">
        <v>9</v>
      </c>
      <c r="O27" s="13" t="s">
        <v>9</v>
      </c>
      <c r="P27" s="13" t="s">
        <v>9</v>
      </c>
      <c r="Q27" s="51" t="s">
        <v>9</v>
      </c>
      <c r="R27" s="51" t="s">
        <v>9</v>
      </c>
      <c r="S27" s="13" t="s">
        <v>9</v>
      </c>
      <c r="T27" s="13" t="s">
        <v>9</v>
      </c>
      <c r="U27" s="13" t="s">
        <v>9</v>
      </c>
      <c r="V27" s="13" t="s">
        <v>9</v>
      </c>
      <c r="W27" s="13" t="s">
        <v>9</v>
      </c>
      <c r="X27" s="50" t="s">
        <v>9</v>
      </c>
      <c r="Y27" s="51" t="s">
        <v>9</v>
      </c>
      <c r="Z27" s="24" t="s">
        <v>9</v>
      </c>
      <c r="AA27" s="24" t="s">
        <v>9</v>
      </c>
      <c r="AB27" s="24" t="s">
        <v>9</v>
      </c>
      <c r="AC27" s="24" t="s">
        <v>9</v>
      </c>
      <c r="AD27" s="24" t="s">
        <v>9</v>
      </c>
      <c r="AE27" s="51" t="s">
        <v>9</v>
      </c>
      <c r="AF27" s="50" t="s">
        <v>9</v>
      </c>
      <c r="AG27" s="13" t="s">
        <v>9</v>
      </c>
      <c r="AH27" s="9">
        <f t="shared" ref="AH27" si="6">SUM(D27:AG27)</f>
        <v>44</v>
      </c>
      <c r="AI27" s="9">
        <f t="shared" ref="AI27" si="7">COUNT(D27:AG27)</f>
        <v>4</v>
      </c>
      <c r="AJ27" s="14"/>
    </row>
  </sheetData>
  <autoFilter ref="A4:AI27" xr:uid="{00000000-0009-0000-0000-000002000000}"/>
  <sortState xmlns:xlrd2="http://schemas.microsoft.com/office/spreadsheetml/2017/richdata2" ref="B6:AG30">
    <sortCondition ref="B5"/>
  </sortState>
  <mergeCells count="6">
    <mergeCell ref="AH1:AH3"/>
    <mergeCell ref="AI1:AI3"/>
    <mergeCell ref="D1:AG2"/>
    <mergeCell ref="A1:A3"/>
    <mergeCell ref="B1:B3"/>
    <mergeCell ref="C1:C3"/>
  </mergeCells>
  <conditionalFormatting sqref="B6:B7">
    <cfRule type="duplicateValues" dxfId="14" priority="597"/>
  </conditionalFormatting>
  <conditionalFormatting sqref="B8">
    <cfRule type="duplicateValues" dxfId="13" priority="73"/>
  </conditionalFormatting>
  <conditionalFormatting sqref="B11">
    <cfRule type="duplicateValues" dxfId="12" priority="65"/>
  </conditionalFormatting>
  <conditionalFormatting sqref="B18">
    <cfRule type="duplicateValues" dxfId="11" priority="545"/>
  </conditionalFormatting>
  <conditionalFormatting sqref="B26">
    <cfRule type="duplicateValues" dxfId="10" priority="592"/>
  </conditionalFormatting>
  <pageMargins left="0.118110236220472" right="0.118110236220472" top="0.55118110236220497" bottom="0.15748031496063" header="0.31496062992126" footer="0.31496062992126"/>
  <pageSetup paperSize="9" scale="52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7"/>
  <sheetViews>
    <sheetView zoomScale="50" zoomScaleNormal="50" workbookViewId="0">
      <selection activeCell="C1" sqref="C1:C1048576"/>
    </sheetView>
  </sheetViews>
  <sheetFormatPr defaultColWidth="9" defaultRowHeight="15"/>
  <cols>
    <col min="1" max="1" width="7.28515625" customWidth="1"/>
    <col min="2" max="2" width="54.85546875" style="32" customWidth="1"/>
    <col min="3" max="3" width="23.7109375" style="33" customWidth="1"/>
    <col min="4" max="34" width="4.7109375" style="33" customWidth="1"/>
    <col min="35" max="36" width="10.7109375" customWidth="1"/>
    <col min="37" max="37" width="40.42578125" customWidth="1"/>
  </cols>
  <sheetData>
    <row r="1" spans="1:37" ht="18" customHeight="1">
      <c r="A1" s="78" t="s">
        <v>0</v>
      </c>
      <c r="B1" s="79" t="s">
        <v>1</v>
      </c>
      <c r="C1" s="80" t="s">
        <v>2</v>
      </c>
      <c r="D1" s="90" t="s">
        <v>38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2"/>
      <c r="AI1" s="82" t="s">
        <v>4</v>
      </c>
      <c r="AJ1" s="82" t="s">
        <v>5</v>
      </c>
      <c r="AK1" s="14"/>
    </row>
    <row r="2" spans="1:37" ht="18" customHeight="1">
      <c r="A2" s="78"/>
      <c r="B2" s="79"/>
      <c r="C2" s="80"/>
      <c r="D2" s="93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5"/>
      <c r="AI2" s="82"/>
      <c r="AJ2" s="82"/>
      <c r="AK2" s="14"/>
    </row>
    <row r="3" spans="1:37" ht="18" customHeight="1">
      <c r="A3" s="78"/>
      <c r="B3" s="79"/>
      <c r="C3" s="80"/>
      <c r="D3" s="15">
        <v>1</v>
      </c>
      <c r="E3" s="15">
        <v>2</v>
      </c>
      <c r="F3" s="15">
        <v>3</v>
      </c>
      <c r="G3" s="15">
        <v>4</v>
      </c>
      <c r="H3" s="34">
        <v>5</v>
      </c>
      <c r="I3" s="34">
        <v>6</v>
      </c>
      <c r="J3" s="15">
        <v>7</v>
      </c>
      <c r="K3" s="15">
        <v>8</v>
      </c>
      <c r="L3" s="15">
        <v>9</v>
      </c>
      <c r="M3" s="15">
        <v>10</v>
      </c>
      <c r="N3" s="15">
        <v>11</v>
      </c>
      <c r="O3" s="34">
        <v>12</v>
      </c>
      <c r="P3" s="46">
        <v>13</v>
      </c>
      <c r="Q3" s="15">
        <v>14</v>
      </c>
      <c r="R3" s="15">
        <v>15</v>
      </c>
      <c r="S3" s="15">
        <v>16</v>
      </c>
      <c r="T3" s="15">
        <v>17</v>
      </c>
      <c r="U3" s="15">
        <v>18</v>
      </c>
      <c r="V3" s="34">
        <v>19</v>
      </c>
      <c r="W3" s="34">
        <v>20</v>
      </c>
      <c r="X3" s="15">
        <v>21</v>
      </c>
      <c r="Y3" s="15">
        <v>22</v>
      </c>
      <c r="Z3" s="15">
        <v>23</v>
      </c>
      <c r="AA3" s="15">
        <v>24</v>
      </c>
      <c r="AB3" s="15">
        <v>25</v>
      </c>
      <c r="AC3" s="34">
        <v>26</v>
      </c>
      <c r="AD3" s="34">
        <v>27</v>
      </c>
      <c r="AE3" s="15">
        <v>28</v>
      </c>
      <c r="AF3" s="15">
        <v>29</v>
      </c>
      <c r="AG3" s="15">
        <v>30</v>
      </c>
      <c r="AH3" s="15">
        <v>31</v>
      </c>
      <c r="AI3" s="82"/>
      <c r="AJ3" s="82"/>
      <c r="AK3" s="14"/>
    </row>
    <row r="4" spans="1:37" ht="25.15" customHeight="1">
      <c r="A4" s="1"/>
      <c r="B4" s="2"/>
      <c r="C4" s="3"/>
      <c r="D4" s="19"/>
      <c r="E4" s="19"/>
      <c r="F4" s="19"/>
      <c r="G4" s="19"/>
      <c r="H4" s="35"/>
      <c r="I4" s="35"/>
      <c r="J4" s="19"/>
      <c r="K4" s="19"/>
      <c r="L4" s="19"/>
      <c r="M4" s="19"/>
      <c r="N4" s="19"/>
      <c r="O4" s="35"/>
      <c r="P4" s="40"/>
      <c r="Q4" s="19"/>
      <c r="R4" s="19"/>
      <c r="S4" s="19"/>
      <c r="T4" s="19"/>
      <c r="U4" s="19"/>
      <c r="V4" s="35"/>
      <c r="W4" s="35"/>
      <c r="X4" s="19"/>
      <c r="Y4" s="19"/>
      <c r="Z4" s="19"/>
      <c r="AA4" s="19"/>
      <c r="AB4" s="19"/>
      <c r="AC4" s="35"/>
      <c r="AD4" s="35"/>
      <c r="AE4" s="19"/>
      <c r="AF4" s="19"/>
      <c r="AG4" s="19"/>
      <c r="AH4" s="19"/>
      <c r="AI4" s="16"/>
      <c r="AJ4" s="16"/>
      <c r="AK4" s="14"/>
    </row>
    <row r="5" spans="1:37" ht="25.15" customHeight="1">
      <c r="A5" s="24">
        <v>8</v>
      </c>
      <c r="B5" s="6" t="s">
        <v>11</v>
      </c>
      <c r="C5" s="45" t="s">
        <v>12</v>
      </c>
      <c r="D5" s="20" t="s">
        <v>7</v>
      </c>
      <c r="E5" s="20">
        <v>11</v>
      </c>
      <c r="F5" s="20">
        <v>11</v>
      </c>
      <c r="G5" s="20">
        <v>11</v>
      </c>
      <c r="H5" s="37">
        <v>11</v>
      </c>
      <c r="I5" s="37">
        <v>11</v>
      </c>
      <c r="J5" s="7">
        <v>11</v>
      </c>
      <c r="K5" s="9" t="s">
        <v>39</v>
      </c>
      <c r="L5" s="9">
        <v>11</v>
      </c>
      <c r="M5" s="9">
        <v>11</v>
      </c>
      <c r="N5" s="9">
        <v>11</v>
      </c>
      <c r="O5" s="26">
        <v>11</v>
      </c>
      <c r="P5" s="26">
        <v>11</v>
      </c>
      <c r="Q5" s="9">
        <v>11</v>
      </c>
      <c r="R5" s="9">
        <v>11</v>
      </c>
      <c r="S5" s="7">
        <v>11</v>
      </c>
      <c r="T5" s="7">
        <v>11</v>
      </c>
      <c r="U5" s="7">
        <v>11</v>
      </c>
      <c r="V5" s="37">
        <v>11</v>
      </c>
      <c r="W5" s="37">
        <v>11</v>
      </c>
      <c r="X5" s="7">
        <v>11</v>
      </c>
      <c r="Y5" s="7">
        <v>11</v>
      </c>
      <c r="Z5" s="7">
        <v>11</v>
      </c>
      <c r="AA5" s="7">
        <v>11</v>
      </c>
      <c r="AB5" s="7">
        <v>11</v>
      </c>
      <c r="AC5" s="37">
        <v>11</v>
      </c>
      <c r="AD5" s="37">
        <v>11</v>
      </c>
      <c r="AE5" s="7">
        <v>11</v>
      </c>
      <c r="AF5" s="7">
        <v>11</v>
      </c>
      <c r="AG5" s="7">
        <v>11</v>
      </c>
      <c r="AH5" s="7">
        <v>11</v>
      </c>
      <c r="AI5" s="17">
        <f t="shared" ref="AI5:AI19" si="0">SUM(D5:AH5)</f>
        <v>319</v>
      </c>
      <c r="AJ5" s="7">
        <f t="shared" ref="AJ5:AJ19" si="1">COUNT(D5:AH5)</f>
        <v>29</v>
      </c>
      <c r="AK5" s="14"/>
    </row>
    <row r="6" spans="1:37" ht="25.15" customHeight="1">
      <c r="A6" s="4">
        <v>11</v>
      </c>
      <c r="B6" s="8" t="s">
        <v>13</v>
      </c>
      <c r="C6" s="11" t="s">
        <v>12</v>
      </c>
      <c r="D6" s="11" t="s">
        <v>9</v>
      </c>
      <c r="E6" s="11" t="s">
        <v>9</v>
      </c>
      <c r="F6" s="11" t="s">
        <v>9</v>
      </c>
      <c r="G6" s="11" t="s">
        <v>9</v>
      </c>
      <c r="H6" s="36" t="s">
        <v>9</v>
      </c>
      <c r="I6" s="36" t="s">
        <v>9</v>
      </c>
      <c r="J6" s="11" t="s">
        <v>9</v>
      </c>
      <c r="K6" s="11" t="s">
        <v>9</v>
      </c>
      <c r="L6" s="9" t="s">
        <v>9</v>
      </c>
      <c r="M6" s="9" t="s">
        <v>9</v>
      </c>
      <c r="N6" s="11" t="s">
        <v>9</v>
      </c>
      <c r="O6" s="27" t="s">
        <v>9</v>
      </c>
      <c r="P6" s="27" t="s">
        <v>9</v>
      </c>
      <c r="Q6" s="9" t="s">
        <v>9</v>
      </c>
      <c r="R6" s="9" t="s">
        <v>9</v>
      </c>
      <c r="S6" s="11" t="s">
        <v>9</v>
      </c>
      <c r="T6" s="11" t="s">
        <v>9</v>
      </c>
      <c r="U6" s="11" t="s">
        <v>9</v>
      </c>
      <c r="V6" s="36" t="s">
        <v>9</v>
      </c>
      <c r="W6" s="36" t="s">
        <v>9</v>
      </c>
      <c r="X6" s="11" t="s">
        <v>9</v>
      </c>
      <c r="Y6" s="9" t="s">
        <v>9</v>
      </c>
      <c r="Z6" s="9" t="s">
        <v>9</v>
      </c>
      <c r="AA6" s="9" t="s">
        <v>9</v>
      </c>
      <c r="AB6" s="9" t="s">
        <v>9</v>
      </c>
      <c r="AC6" s="40" t="s">
        <v>9</v>
      </c>
      <c r="AD6" s="40" t="s">
        <v>9</v>
      </c>
      <c r="AE6" s="9" t="s">
        <v>9</v>
      </c>
      <c r="AF6" s="11" t="s">
        <v>9</v>
      </c>
      <c r="AG6" s="11" t="s">
        <v>9</v>
      </c>
      <c r="AH6" s="11" t="s">
        <v>9</v>
      </c>
      <c r="AI6" s="17">
        <f t="shared" si="0"/>
        <v>0</v>
      </c>
      <c r="AJ6" s="7">
        <f t="shared" si="1"/>
        <v>0</v>
      </c>
      <c r="AK6" s="14"/>
    </row>
    <row r="7" spans="1:37" ht="25.15" customHeight="1">
      <c r="A7" s="4">
        <v>13</v>
      </c>
      <c r="B7" s="12" t="s">
        <v>15</v>
      </c>
      <c r="C7" s="11" t="s">
        <v>12</v>
      </c>
      <c r="D7" s="11" t="s">
        <v>9</v>
      </c>
      <c r="E7" s="11" t="s">
        <v>9</v>
      </c>
      <c r="F7" s="11" t="s">
        <v>9</v>
      </c>
      <c r="G7" s="11" t="s">
        <v>9</v>
      </c>
      <c r="H7" s="36" t="s">
        <v>9</v>
      </c>
      <c r="I7" s="36" t="s">
        <v>9</v>
      </c>
      <c r="J7" s="11" t="s">
        <v>9</v>
      </c>
      <c r="K7" s="11" t="s">
        <v>9</v>
      </c>
      <c r="L7" s="9" t="s">
        <v>9</v>
      </c>
      <c r="M7" s="9" t="s">
        <v>9</v>
      </c>
      <c r="N7" s="11" t="s">
        <v>9</v>
      </c>
      <c r="O7" s="27" t="s">
        <v>9</v>
      </c>
      <c r="P7" s="27" t="s">
        <v>9</v>
      </c>
      <c r="Q7" s="9" t="s">
        <v>9</v>
      </c>
      <c r="R7" s="9" t="s">
        <v>9</v>
      </c>
      <c r="S7" s="11" t="s">
        <v>9</v>
      </c>
      <c r="T7" s="11" t="s">
        <v>9</v>
      </c>
      <c r="U7" s="11" t="s">
        <v>9</v>
      </c>
      <c r="V7" s="36" t="s">
        <v>9</v>
      </c>
      <c r="W7" s="36" t="s">
        <v>9</v>
      </c>
      <c r="X7" s="11" t="s">
        <v>9</v>
      </c>
      <c r="Y7" s="9" t="s">
        <v>9</v>
      </c>
      <c r="Z7" s="9" t="s">
        <v>9</v>
      </c>
      <c r="AA7" s="9" t="s">
        <v>9</v>
      </c>
      <c r="AB7" s="9" t="s">
        <v>9</v>
      </c>
      <c r="AC7" s="40" t="s">
        <v>9</v>
      </c>
      <c r="AD7" s="40" t="s">
        <v>9</v>
      </c>
      <c r="AE7" s="9" t="s">
        <v>9</v>
      </c>
      <c r="AF7" s="11" t="s">
        <v>9</v>
      </c>
      <c r="AG7" s="11" t="s">
        <v>9</v>
      </c>
      <c r="AH7" s="11" t="s">
        <v>9</v>
      </c>
      <c r="AI7" s="17">
        <f t="shared" si="0"/>
        <v>0</v>
      </c>
      <c r="AJ7" s="7">
        <f t="shared" si="1"/>
        <v>0</v>
      </c>
      <c r="AK7" s="14"/>
    </row>
    <row r="8" spans="1:37" ht="25.15" customHeight="1">
      <c r="A8" s="24">
        <v>20</v>
      </c>
      <c r="B8" s="8" t="s">
        <v>16</v>
      </c>
      <c r="C8" s="10" t="s">
        <v>12</v>
      </c>
      <c r="D8" s="9" t="s">
        <v>9</v>
      </c>
      <c r="E8" s="9" t="s">
        <v>9</v>
      </c>
      <c r="F8" s="9" t="s">
        <v>9</v>
      </c>
      <c r="G8" s="11" t="s">
        <v>9</v>
      </c>
      <c r="H8" s="36" t="s">
        <v>9</v>
      </c>
      <c r="I8" s="36" t="s">
        <v>9</v>
      </c>
      <c r="J8" s="11" t="s">
        <v>9</v>
      </c>
      <c r="K8" s="11" t="s">
        <v>9</v>
      </c>
      <c r="L8" s="9" t="s">
        <v>9</v>
      </c>
      <c r="M8" s="9" t="s">
        <v>9</v>
      </c>
      <c r="N8" s="11" t="s">
        <v>9</v>
      </c>
      <c r="O8" s="27" t="s">
        <v>9</v>
      </c>
      <c r="P8" s="27" t="s">
        <v>9</v>
      </c>
      <c r="Q8" s="9" t="s">
        <v>9</v>
      </c>
      <c r="R8" s="9" t="s">
        <v>9</v>
      </c>
      <c r="S8" s="11" t="s">
        <v>9</v>
      </c>
      <c r="T8" s="11" t="s">
        <v>9</v>
      </c>
      <c r="U8" s="11" t="s">
        <v>9</v>
      </c>
      <c r="V8" s="36" t="s">
        <v>9</v>
      </c>
      <c r="W8" s="36" t="s">
        <v>9</v>
      </c>
      <c r="X8" s="11" t="s">
        <v>9</v>
      </c>
      <c r="Y8" s="9" t="s">
        <v>9</v>
      </c>
      <c r="Z8" s="9" t="s">
        <v>9</v>
      </c>
      <c r="AA8" s="9" t="s">
        <v>9</v>
      </c>
      <c r="AB8" s="9" t="s">
        <v>9</v>
      </c>
      <c r="AC8" s="40" t="s">
        <v>9</v>
      </c>
      <c r="AD8" s="40" t="s">
        <v>9</v>
      </c>
      <c r="AE8" s="11" t="s">
        <v>9</v>
      </c>
      <c r="AF8" s="11" t="s">
        <v>9</v>
      </c>
      <c r="AG8" s="11" t="s">
        <v>9</v>
      </c>
      <c r="AH8" s="11" t="s">
        <v>9</v>
      </c>
      <c r="AI8" s="17">
        <f t="shared" si="0"/>
        <v>0</v>
      </c>
      <c r="AJ8" s="7">
        <f t="shared" si="1"/>
        <v>0</v>
      </c>
      <c r="AK8" s="14"/>
    </row>
    <row r="9" spans="1:37" ht="25.15" customHeight="1">
      <c r="A9" s="24">
        <v>24</v>
      </c>
      <c r="B9" s="41" t="s">
        <v>17</v>
      </c>
      <c r="C9" s="10" t="s">
        <v>12</v>
      </c>
      <c r="D9" s="11">
        <v>11</v>
      </c>
      <c r="E9" s="11">
        <v>11</v>
      </c>
      <c r="F9" s="11">
        <v>11</v>
      </c>
      <c r="G9" s="11">
        <v>11</v>
      </c>
      <c r="H9" s="36">
        <v>11</v>
      </c>
      <c r="I9" s="36" t="s">
        <v>10</v>
      </c>
      <c r="J9" s="11">
        <v>11</v>
      </c>
      <c r="K9" s="11">
        <v>11</v>
      </c>
      <c r="L9" s="11">
        <v>11</v>
      </c>
      <c r="M9" s="11">
        <v>11</v>
      </c>
      <c r="N9" s="11">
        <v>11</v>
      </c>
      <c r="O9" s="27">
        <v>11</v>
      </c>
      <c r="P9" s="27" t="s">
        <v>39</v>
      </c>
      <c r="Q9" s="11" t="s">
        <v>39</v>
      </c>
      <c r="R9" s="11" t="s">
        <v>39</v>
      </c>
      <c r="S9" s="11" t="s">
        <v>14</v>
      </c>
      <c r="T9" s="11" t="s">
        <v>9</v>
      </c>
      <c r="U9" s="11" t="s">
        <v>9</v>
      </c>
      <c r="V9" s="36" t="s">
        <v>9</v>
      </c>
      <c r="W9" s="36" t="s">
        <v>9</v>
      </c>
      <c r="X9" s="11" t="s">
        <v>9</v>
      </c>
      <c r="Y9" s="9" t="s">
        <v>9</v>
      </c>
      <c r="Z9" s="9" t="s">
        <v>9</v>
      </c>
      <c r="AA9" s="9" t="s">
        <v>9</v>
      </c>
      <c r="AB9" s="9" t="s">
        <v>9</v>
      </c>
      <c r="AC9" s="40" t="s">
        <v>9</v>
      </c>
      <c r="AD9" s="40" t="s">
        <v>9</v>
      </c>
      <c r="AE9" s="9" t="s">
        <v>9</v>
      </c>
      <c r="AF9" s="11" t="s">
        <v>9</v>
      </c>
      <c r="AG9" s="11" t="s">
        <v>9</v>
      </c>
      <c r="AH9" s="11" t="s">
        <v>9</v>
      </c>
      <c r="AI9" s="17">
        <f t="shared" si="0"/>
        <v>121</v>
      </c>
      <c r="AJ9" s="7">
        <f t="shared" si="1"/>
        <v>11</v>
      </c>
      <c r="AK9" s="14"/>
    </row>
    <row r="10" spans="1:37" ht="25.15" customHeight="1">
      <c r="A10" s="4">
        <v>35</v>
      </c>
      <c r="B10" s="12" t="s">
        <v>18</v>
      </c>
      <c r="C10" s="10" t="s">
        <v>12</v>
      </c>
      <c r="D10" s="9" t="s">
        <v>9</v>
      </c>
      <c r="E10" s="9" t="s">
        <v>9</v>
      </c>
      <c r="F10" s="9" t="s">
        <v>9</v>
      </c>
      <c r="G10" s="11" t="s">
        <v>9</v>
      </c>
      <c r="H10" s="36" t="s">
        <v>9</v>
      </c>
      <c r="I10" s="36" t="s">
        <v>9</v>
      </c>
      <c r="J10" s="11" t="s">
        <v>9</v>
      </c>
      <c r="K10" s="11" t="s">
        <v>9</v>
      </c>
      <c r="L10" s="9" t="s">
        <v>9</v>
      </c>
      <c r="M10" s="9" t="s">
        <v>9</v>
      </c>
      <c r="N10" s="11" t="s">
        <v>9</v>
      </c>
      <c r="O10" s="27" t="s">
        <v>9</v>
      </c>
      <c r="P10" s="27" t="s">
        <v>9</v>
      </c>
      <c r="Q10" s="11" t="s">
        <v>9</v>
      </c>
      <c r="R10" s="11" t="s">
        <v>9</v>
      </c>
      <c r="S10" s="11" t="s">
        <v>9</v>
      </c>
      <c r="T10" s="11" t="s">
        <v>9</v>
      </c>
      <c r="U10" s="11" t="s">
        <v>9</v>
      </c>
      <c r="V10" s="36" t="s">
        <v>9</v>
      </c>
      <c r="W10" s="36" t="s">
        <v>9</v>
      </c>
      <c r="X10" s="11" t="s">
        <v>9</v>
      </c>
      <c r="Y10" s="11" t="s">
        <v>9</v>
      </c>
      <c r="Z10" s="11" t="s">
        <v>9</v>
      </c>
      <c r="AA10" s="27" t="s">
        <v>14</v>
      </c>
      <c r="AB10" s="31" t="s">
        <v>40</v>
      </c>
      <c r="AC10" s="31"/>
      <c r="AD10" s="31"/>
      <c r="AE10" s="31"/>
      <c r="AF10" s="31"/>
      <c r="AG10" s="27"/>
      <c r="AH10" s="27"/>
      <c r="AI10" s="17">
        <f t="shared" si="0"/>
        <v>0</v>
      </c>
      <c r="AJ10" s="7">
        <f t="shared" si="1"/>
        <v>0</v>
      </c>
      <c r="AK10" s="14"/>
    </row>
    <row r="11" spans="1:37" ht="25.15" customHeight="1">
      <c r="A11" s="4">
        <v>37</v>
      </c>
      <c r="B11" s="41" t="s">
        <v>19</v>
      </c>
      <c r="C11" s="11" t="s">
        <v>12</v>
      </c>
      <c r="D11" s="11">
        <v>11</v>
      </c>
      <c r="E11" s="11">
        <v>11</v>
      </c>
      <c r="F11" s="11">
        <v>11</v>
      </c>
      <c r="G11" s="11">
        <v>11</v>
      </c>
      <c r="H11" s="36">
        <v>11</v>
      </c>
      <c r="I11" s="36">
        <v>11</v>
      </c>
      <c r="J11" s="11">
        <v>11</v>
      </c>
      <c r="K11" s="11">
        <v>11</v>
      </c>
      <c r="L11" s="11">
        <v>11</v>
      </c>
      <c r="M11" s="11">
        <v>11</v>
      </c>
      <c r="N11" s="11">
        <v>11</v>
      </c>
      <c r="O11" s="27">
        <v>11</v>
      </c>
      <c r="P11" s="27" t="s">
        <v>39</v>
      </c>
      <c r="Q11" s="11" t="s">
        <v>39</v>
      </c>
      <c r="R11" s="11">
        <v>11</v>
      </c>
      <c r="S11" s="11">
        <v>11</v>
      </c>
      <c r="T11" s="11">
        <v>11</v>
      </c>
      <c r="U11" s="11" t="s">
        <v>7</v>
      </c>
      <c r="V11" s="36">
        <v>11</v>
      </c>
      <c r="W11" s="36">
        <v>11</v>
      </c>
      <c r="X11" s="11">
        <v>11</v>
      </c>
      <c r="Y11" s="11">
        <v>11</v>
      </c>
      <c r="Z11" s="11">
        <v>11</v>
      </c>
      <c r="AA11" s="11">
        <v>11</v>
      </c>
      <c r="AB11" s="11">
        <v>11</v>
      </c>
      <c r="AC11" s="36">
        <v>11</v>
      </c>
      <c r="AD11" s="36">
        <v>11</v>
      </c>
      <c r="AE11" s="11">
        <v>11</v>
      </c>
      <c r="AF11" s="11">
        <v>11</v>
      </c>
      <c r="AG11" s="11">
        <v>11</v>
      </c>
      <c r="AH11" s="11">
        <v>11</v>
      </c>
      <c r="AI11" s="17">
        <f t="shared" si="0"/>
        <v>308</v>
      </c>
      <c r="AJ11" s="7">
        <f t="shared" si="1"/>
        <v>28</v>
      </c>
      <c r="AK11" s="14"/>
    </row>
    <row r="12" spans="1:37" ht="25.15" customHeight="1">
      <c r="A12" s="24">
        <v>42</v>
      </c>
      <c r="B12" s="41" t="s">
        <v>20</v>
      </c>
      <c r="C12" s="10" t="s">
        <v>12</v>
      </c>
      <c r="D12" s="11" t="s">
        <v>14</v>
      </c>
      <c r="E12" s="9" t="s">
        <v>9</v>
      </c>
      <c r="F12" s="11" t="s">
        <v>9</v>
      </c>
      <c r="G12" s="11" t="s">
        <v>9</v>
      </c>
      <c r="H12" s="36" t="s">
        <v>9</v>
      </c>
      <c r="I12" s="36" t="s">
        <v>9</v>
      </c>
      <c r="J12" s="11" t="s">
        <v>9</v>
      </c>
      <c r="K12" s="11" t="s">
        <v>9</v>
      </c>
      <c r="L12" s="9" t="s">
        <v>9</v>
      </c>
      <c r="M12" s="9" t="s">
        <v>9</v>
      </c>
      <c r="N12" s="11" t="s">
        <v>9</v>
      </c>
      <c r="O12" s="27" t="s">
        <v>9</v>
      </c>
      <c r="P12" s="27" t="s">
        <v>9</v>
      </c>
      <c r="Q12" s="9" t="s">
        <v>9</v>
      </c>
      <c r="R12" s="9" t="s">
        <v>9</v>
      </c>
      <c r="S12" s="11" t="s">
        <v>9</v>
      </c>
      <c r="T12" s="11" t="s">
        <v>9</v>
      </c>
      <c r="U12" s="11" t="s">
        <v>9</v>
      </c>
      <c r="V12" s="36" t="s">
        <v>9</v>
      </c>
      <c r="W12" s="36" t="s">
        <v>9</v>
      </c>
      <c r="X12" s="11" t="s">
        <v>9</v>
      </c>
      <c r="Y12" s="9" t="s">
        <v>9</v>
      </c>
      <c r="Z12" s="9" t="s">
        <v>9</v>
      </c>
      <c r="AA12" s="9" t="s">
        <v>9</v>
      </c>
      <c r="AB12" s="9" t="s">
        <v>9</v>
      </c>
      <c r="AC12" s="40" t="s">
        <v>9</v>
      </c>
      <c r="AD12" s="40" t="s">
        <v>9</v>
      </c>
      <c r="AE12" s="9" t="s">
        <v>9</v>
      </c>
      <c r="AF12" s="11" t="s">
        <v>9</v>
      </c>
      <c r="AG12" s="11" t="s">
        <v>9</v>
      </c>
      <c r="AH12" s="11" t="s">
        <v>9</v>
      </c>
      <c r="AI12" s="17">
        <f t="shared" si="0"/>
        <v>0</v>
      </c>
      <c r="AJ12" s="7">
        <f t="shared" si="1"/>
        <v>0</v>
      </c>
      <c r="AK12" s="14"/>
    </row>
    <row r="13" spans="1:37" ht="25.15" customHeight="1">
      <c r="A13" s="4">
        <v>43</v>
      </c>
      <c r="B13" s="12" t="s">
        <v>21</v>
      </c>
      <c r="C13" s="11" t="s">
        <v>12</v>
      </c>
      <c r="D13" s="11">
        <v>11</v>
      </c>
      <c r="E13" s="11">
        <v>11</v>
      </c>
      <c r="F13" s="11">
        <v>11</v>
      </c>
      <c r="G13" s="11">
        <v>11</v>
      </c>
      <c r="H13" s="36">
        <v>11</v>
      </c>
      <c r="I13" s="36" t="s">
        <v>10</v>
      </c>
      <c r="J13" s="11">
        <v>11</v>
      </c>
      <c r="K13" s="11">
        <v>11</v>
      </c>
      <c r="L13" s="11">
        <v>11</v>
      </c>
      <c r="M13" s="11">
        <v>11</v>
      </c>
      <c r="N13" s="11">
        <v>11</v>
      </c>
      <c r="O13" s="27">
        <v>11</v>
      </c>
      <c r="P13" s="27">
        <v>11</v>
      </c>
      <c r="Q13" s="11">
        <v>11</v>
      </c>
      <c r="R13" s="11">
        <v>11</v>
      </c>
      <c r="S13" s="11">
        <v>11</v>
      </c>
      <c r="T13" s="11">
        <v>11</v>
      </c>
      <c r="U13" s="11">
        <v>11</v>
      </c>
      <c r="V13" s="36">
        <v>11</v>
      </c>
      <c r="W13" s="36" t="s">
        <v>10</v>
      </c>
      <c r="X13" s="11">
        <v>11</v>
      </c>
      <c r="Y13" s="11">
        <v>11</v>
      </c>
      <c r="Z13" s="11">
        <v>11</v>
      </c>
      <c r="AA13" s="11">
        <v>11</v>
      </c>
      <c r="AB13" s="11">
        <v>11</v>
      </c>
      <c r="AC13" s="36">
        <v>11</v>
      </c>
      <c r="AD13" s="36">
        <v>11</v>
      </c>
      <c r="AE13" s="11">
        <v>11</v>
      </c>
      <c r="AF13" s="11">
        <v>11</v>
      </c>
      <c r="AG13" s="11">
        <v>11</v>
      </c>
      <c r="AH13" s="11">
        <v>11</v>
      </c>
      <c r="AI13" s="17">
        <f t="shared" si="0"/>
        <v>319</v>
      </c>
      <c r="AJ13" s="7">
        <f t="shared" si="1"/>
        <v>29</v>
      </c>
      <c r="AK13" s="14"/>
    </row>
    <row r="14" spans="1:37" ht="25.15" customHeight="1">
      <c r="A14" s="24">
        <v>44</v>
      </c>
      <c r="B14" s="12" t="s">
        <v>22</v>
      </c>
      <c r="C14" s="11" t="s">
        <v>12</v>
      </c>
      <c r="D14" s="11" t="s">
        <v>9</v>
      </c>
      <c r="E14" s="11" t="s">
        <v>9</v>
      </c>
      <c r="F14" s="11" t="s">
        <v>9</v>
      </c>
      <c r="G14" s="11" t="s">
        <v>9</v>
      </c>
      <c r="H14" s="36" t="s">
        <v>9</v>
      </c>
      <c r="I14" s="36" t="s">
        <v>9</v>
      </c>
      <c r="J14" s="11" t="s">
        <v>9</v>
      </c>
      <c r="K14" s="11" t="s">
        <v>9</v>
      </c>
      <c r="L14" s="9" t="s">
        <v>9</v>
      </c>
      <c r="M14" s="9" t="s">
        <v>9</v>
      </c>
      <c r="N14" s="11" t="s">
        <v>9</v>
      </c>
      <c r="O14" s="27" t="s">
        <v>9</v>
      </c>
      <c r="P14" s="27" t="s">
        <v>9</v>
      </c>
      <c r="Q14" s="9" t="s">
        <v>9</v>
      </c>
      <c r="R14" s="9" t="s">
        <v>9</v>
      </c>
      <c r="S14" s="11" t="s">
        <v>9</v>
      </c>
      <c r="T14" s="11" t="s">
        <v>9</v>
      </c>
      <c r="U14" s="11" t="s">
        <v>9</v>
      </c>
      <c r="V14" s="36" t="s">
        <v>9</v>
      </c>
      <c r="W14" s="36" t="s">
        <v>9</v>
      </c>
      <c r="X14" s="11" t="s">
        <v>9</v>
      </c>
      <c r="Y14" s="9" t="s">
        <v>9</v>
      </c>
      <c r="Z14" s="9" t="s">
        <v>9</v>
      </c>
      <c r="AA14" s="9" t="s">
        <v>9</v>
      </c>
      <c r="AB14" s="9" t="s">
        <v>9</v>
      </c>
      <c r="AC14" s="40" t="s">
        <v>9</v>
      </c>
      <c r="AD14" s="40" t="s">
        <v>9</v>
      </c>
      <c r="AE14" s="9" t="s">
        <v>9</v>
      </c>
      <c r="AF14" s="11" t="s">
        <v>9</v>
      </c>
      <c r="AG14" s="11" t="s">
        <v>9</v>
      </c>
      <c r="AH14" s="11" t="s">
        <v>9</v>
      </c>
      <c r="AI14" s="17">
        <f t="shared" si="0"/>
        <v>0</v>
      </c>
      <c r="AJ14" s="7">
        <f t="shared" si="1"/>
        <v>0</v>
      </c>
      <c r="AK14" s="14"/>
    </row>
    <row r="15" spans="1:37" ht="25.15" customHeight="1">
      <c r="A15" s="4">
        <v>45</v>
      </c>
      <c r="B15" s="8" t="s">
        <v>23</v>
      </c>
      <c r="C15" s="10" t="s">
        <v>12</v>
      </c>
      <c r="D15" s="11" t="s">
        <v>9</v>
      </c>
      <c r="E15" s="11" t="s">
        <v>9</v>
      </c>
      <c r="F15" s="11" t="s">
        <v>9</v>
      </c>
      <c r="G15" s="11" t="s">
        <v>9</v>
      </c>
      <c r="H15" s="36" t="s">
        <v>9</v>
      </c>
      <c r="I15" s="36" t="s">
        <v>9</v>
      </c>
      <c r="J15" s="11" t="s">
        <v>9</v>
      </c>
      <c r="K15" s="11" t="s">
        <v>9</v>
      </c>
      <c r="L15" s="9" t="s">
        <v>9</v>
      </c>
      <c r="M15" s="9" t="s">
        <v>9</v>
      </c>
      <c r="N15" s="11" t="s">
        <v>9</v>
      </c>
      <c r="O15" s="27" t="s">
        <v>9</v>
      </c>
      <c r="P15" s="27" t="s">
        <v>9</v>
      </c>
      <c r="Q15" s="9" t="s">
        <v>9</v>
      </c>
      <c r="R15" s="9" t="s">
        <v>9</v>
      </c>
      <c r="S15" s="11" t="s">
        <v>9</v>
      </c>
      <c r="T15" s="11" t="s">
        <v>14</v>
      </c>
      <c r="U15" s="11" t="s">
        <v>7</v>
      </c>
      <c r="V15" s="36">
        <v>11</v>
      </c>
      <c r="W15" s="36">
        <v>11</v>
      </c>
      <c r="X15" s="31" t="s">
        <v>40</v>
      </c>
      <c r="Y15" s="26"/>
      <c r="Z15" s="26"/>
      <c r="AA15" s="26"/>
      <c r="AB15" s="26"/>
      <c r="AC15" s="26"/>
      <c r="AD15" s="26"/>
      <c r="AE15" s="26"/>
      <c r="AF15" s="27"/>
      <c r="AG15" s="27"/>
      <c r="AH15" s="27"/>
      <c r="AI15" s="17">
        <f t="shared" si="0"/>
        <v>22</v>
      </c>
      <c r="AJ15" s="7">
        <f t="shared" si="1"/>
        <v>2</v>
      </c>
      <c r="AK15" s="14"/>
    </row>
    <row r="16" spans="1:37" ht="25.15" customHeight="1">
      <c r="A16" s="24">
        <v>48</v>
      </c>
      <c r="B16" s="12" t="s">
        <v>24</v>
      </c>
      <c r="C16" s="11" t="s">
        <v>12</v>
      </c>
      <c r="D16" s="11">
        <v>11</v>
      </c>
      <c r="E16" s="11">
        <v>11</v>
      </c>
      <c r="F16" s="11">
        <v>11</v>
      </c>
      <c r="G16" s="11">
        <v>11</v>
      </c>
      <c r="H16" s="36">
        <v>11</v>
      </c>
      <c r="I16" s="36" t="s">
        <v>10</v>
      </c>
      <c r="J16" s="11">
        <v>11</v>
      </c>
      <c r="K16" s="11">
        <v>11</v>
      </c>
      <c r="L16" s="11">
        <v>11</v>
      </c>
      <c r="M16" s="11">
        <v>11</v>
      </c>
      <c r="N16" s="11">
        <v>11</v>
      </c>
      <c r="O16" s="27">
        <v>11</v>
      </c>
      <c r="P16" s="27">
        <v>11</v>
      </c>
      <c r="Q16" s="11">
        <v>11</v>
      </c>
      <c r="R16" s="11">
        <v>11</v>
      </c>
      <c r="S16" s="9">
        <v>11</v>
      </c>
      <c r="T16" s="9">
        <v>11</v>
      </c>
      <c r="U16" s="9">
        <v>11</v>
      </c>
      <c r="V16" s="36">
        <v>11</v>
      </c>
      <c r="W16" s="36" t="s">
        <v>10</v>
      </c>
      <c r="X16" s="11">
        <v>11</v>
      </c>
      <c r="Y16" s="11">
        <v>11</v>
      </c>
      <c r="Z16" s="11">
        <v>11</v>
      </c>
      <c r="AA16" s="11">
        <v>11</v>
      </c>
      <c r="AB16" s="11">
        <v>11</v>
      </c>
      <c r="AC16" s="36">
        <v>11</v>
      </c>
      <c r="AD16" s="36">
        <v>11</v>
      </c>
      <c r="AE16" s="11">
        <v>11</v>
      </c>
      <c r="AF16" s="11">
        <v>11</v>
      </c>
      <c r="AG16" s="11">
        <v>11</v>
      </c>
      <c r="AH16" s="11">
        <v>11</v>
      </c>
      <c r="AI16" s="17">
        <f t="shared" si="0"/>
        <v>319</v>
      </c>
      <c r="AJ16" s="7">
        <f t="shared" si="1"/>
        <v>29</v>
      </c>
      <c r="AK16" s="14"/>
    </row>
    <row r="17" spans="1:37" ht="25.15" customHeight="1">
      <c r="A17" s="4">
        <v>49</v>
      </c>
      <c r="B17" s="12" t="s">
        <v>25</v>
      </c>
      <c r="C17" s="11" t="s">
        <v>12</v>
      </c>
      <c r="D17" s="11">
        <v>11</v>
      </c>
      <c r="E17" s="11">
        <v>11</v>
      </c>
      <c r="F17" s="11">
        <v>11</v>
      </c>
      <c r="G17" s="11">
        <v>11</v>
      </c>
      <c r="H17" s="36">
        <v>11</v>
      </c>
      <c r="I17" s="36" t="s">
        <v>10</v>
      </c>
      <c r="J17" s="11">
        <v>11</v>
      </c>
      <c r="K17" s="11">
        <v>11</v>
      </c>
      <c r="L17" s="11">
        <v>11</v>
      </c>
      <c r="M17" s="11">
        <v>11</v>
      </c>
      <c r="N17" s="11">
        <v>11</v>
      </c>
      <c r="O17" s="27">
        <v>11</v>
      </c>
      <c r="P17" s="27">
        <v>11</v>
      </c>
      <c r="Q17" s="11">
        <v>11</v>
      </c>
      <c r="R17" s="11">
        <v>11</v>
      </c>
      <c r="S17" s="9">
        <v>11</v>
      </c>
      <c r="T17" s="9">
        <v>11</v>
      </c>
      <c r="U17" s="9">
        <v>11</v>
      </c>
      <c r="V17" s="36">
        <v>11</v>
      </c>
      <c r="W17" s="36" t="s">
        <v>10</v>
      </c>
      <c r="X17" s="11">
        <v>11</v>
      </c>
      <c r="Y17" s="11">
        <v>11</v>
      </c>
      <c r="Z17" s="11">
        <v>11</v>
      </c>
      <c r="AA17" s="11">
        <v>11</v>
      </c>
      <c r="AB17" s="11">
        <v>11</v>
      </c>
      <c r="AC17" s="36">
        <v>11</v>
      </c>
      <c r="AD17" s="36">
        <v>11</v>
      </c>
      <c r="AE17" s="11">
        <v>11</v>
      </c>
      <c r="AF17" s="11">
        <v>11</v>
      </c>
      <c r="AG17" s="11" t="s">
        <v>7</v>
      </c>
      <c r="AH17" s="11" t="s">
        <v>14</v>
      </c>
      <c r="AI17" s="17">
        <f t="shared" si="0"/>
        <v>297</v>
      </c>
      <c r="AJ17" s="7">
        <f t="shared" si="1"/>
        <v>27</v>
      </c>
      <c r="AK17" s="14"/>
    </row>
    <row r="18" spans="1:37" ht="25.15" customHeight="1">
      <c r="A18" s="4">
        <v>55</v>
      </c>
      <c r="B18" s="6" t="s">
        <v>26</v>
      </c>
      <c r="C18" s="18" t="s">
        <v>12</v>
      </c>
      <c r="D18" s="20" t="s">
        <v>9</v>
      </c>
      <c r="E18" s="20" t="s">
        <v>9</v>
      </c>
      <c r="F18" s="20" t="s">
        <v>9</v>
      </c>
      <c r="G18" s="11" t="s">
        <v>9</v>
      </c>
      <c r="H18" s="36" t="s">
        <v>9</v>
      </c>
      <c r="I18" s="36" t="s">
        <v>9</v>
      </c>
      <c r="J18" s="11" t="s">
        <v>9</v>
      </c>
      <c r="K18" s="11" t="s">
        <v>9</v>
      </c>
      <c r="L18" s="9" t="s">
        <v>9</v>
      </c>
      <c r="M18" s="9" t="s">
        <v>9</v>
      </c>
      <c r="N18" s="11" t="s">
        <v>9</v>
      </c>
      <c r="O18" s="27" t="s">
        <v>9</v>
      </c>
      <c r="P18" s="27" t="s">
        <v>9</v>
      </c>
      <c r="Q18" s="9" t="s">
        <v>9</v>
      </c>
      <c r="R18" s="9" t="s">
        <v>9</v>
      </c>
      <c r="S18" s="11" t="s">
        <v>9</v>
      </c>
      <c r="T18" s="11" t="s">
        <v>14</v>
      </c>
      <c r="U18" s="11" t="s">
        <v>7</v>
      </c>
      <c r="V18" s="36">
        <v>11</v>
      </c>
      <c r="W18" s="36">
        <v>11</v>
      </c>
      <c r="X18" s="31" t="s">
        <v>40</v>
      </c>
      <c r="Y18" s="26"/>
      <c r="Z18" s="26"/>
      <c r="AA18" s="26"/>
      <c r="AB18" s="26"/>
      <c r="AC18" s="26"/>
      <c r="AD18" s="26"/>
      <c r="AE18" s="26"/>
      <c r="AF18" s="27"/>
      <c r="AG18" s="27"/>
      <c r="AH18" s="29"/>
      <c r="AI18" s="17">
        <f t="shared" si="0"/>
        <v>22</v>
      </c>
      <c r="AJ18" s="7">
        <f t="shared" si="1"/>
        <v>2</v>
      </c>
      <c r="AK18" s="14"/>
    </row>
    <row r="19" spans="1:37" ht="25.15" customHeight="1">
      <c r="A19" s="24">
        <v>56</v>
      </c>
      <c r="B19" s="8" t="s">
        <v>27</v>
      </c>
      <c r="C19" s="10" t="s">
        <v>12</v>
      </c>
      <c r="D19" s="11" t="s">
        <v>9</v>
      </c>
      <c r="E19" s="11" t="s">
        <v>9</v>
      </c>
      <c r="F19" s="11" t="s">
        <v>9</v>
      </c>
      <c r="G19" s="11" t="s">
        <v>9</v>
      </c>
      <c r="H19" s="36" t="s">
        <v>9</v>
      </c>
      <c r="I19" s="36" t="s">
        <v>9</v>
      </c>
      <c r="J19" s="11" t="s">
        <v>9</v>
      </c>
      <c r="K19" s="11" t="s">
        <v>9</v>
      </c>
      <c r="L19" s="9" t="s">
        <v>9</v>
      </c>
      <c r="M19" s="9" t="s">
        <v>9</v>
      </c>
      <c r="N19" s="11" t="s">
        <v>9</v>
      </c>
      <c r="O19" s="27" t="s">
        <v>9</v>
      </c>
      <c r="P19" s="27" t="s">
        <v>9</v>
      </c>
      <c r="Q19" s="9" t="s">
        <v>9</v>
      </c>
      <c r="R19" s="9" t="s">
        <v>9</v>
      </c>
      <c r="S19" s="11" t="s">
        <v>9</v>
      </c>
      <c r="T19" s="11" t="s">
        <v>14</v>
      </c>
      <c r="U19" s="11" t="s">
        <v>14</v>
      </c>
      <c r="V19" s="36" t="s">
        <v>14</v>
      </c>
      <c r="W19" s="36">
        <v>11</v>
      </c>
      <c r="X19" s="21">
        <v>11</v>
      </c>
      <c r="Y19" s="9">
        <v>11</v>
      </c>
      <c r="Z19" s="9">
        <v>11</v>
      </c>
      <c r="AA19" s="9">
        <v>11</v>
      </c>
      <c r="AB19" s="9">
        <v>11</v>
      </c>
      <c r="AC19" s="40">
        <v>11</v>
      </c>
      <c r="AD19" s="40">
        <v>11</v>
      </c>
      <c r="AE19" s="9">
        <v>11</v>
      </c>
      <c r="AF19" s="11">
        <v>11</v>
      </c>
      <c r="AG19" s="11">
        <v>11</v>
      </c>
      <c r="AH19" s="11">
        <v>11</v>
      </c>
      <c r="AI19" s="17">
        <f t="shared" si="0"/>
        <v>132</v>
      </c>
      <c r="AJ19" s="7">
        <f t="shared" si="1"/>
        <v>12</v>
      </c>
      <c r="AK19" s="14"/>
    </row>
    <row r="20" spans="1:37" ht="25.15" customHeight="1">
      <c r="A20" s="4">
        <v>67</v>
      </c>
      <c r="B20" s="8" t="s">
        <v>28</v>
      </c>
      <c r="C20" s="10" t="s">
        <v>12</v>
      </c>
      <c r="D20" s="11">
        <v>11</v>
      </c>
      <c r="E20" s="11">
        <v>11</v>
      </c>
      <c r="F20" s="11">
        <v>11</v>
      </c>
      <c r="G20" s="11">
        <v>11</v>
      </c>
      <c r="H20" s="36">
        <v>11</v>
      </c>
      <c r="I20" s="36">
        <v>11</v>
      </c>
      <c r="J20" s="11">
        <v>11</v>
      </c>
      <c r="K20" s="11">
        <v>11</v>
      </c>
      <c r="L20" s="11">
        <v>11</v>
      </c>
      <c r="M20" s="11">
        <v>11</v>
      </c>
      <c r="N20" s="11">
        <v>11</v>
      </c>
      <c r="O20" s="27">
        <v>11</v>
      </c>
      <c r="P20" s="27">
        <v>11</v>
      </c>
      <c r="Q20" s="11">
        <v>11</v>
      </c>
      <c r="R20" s="11">
        <v>11</v>
      </c>
      <c r="S20" s="11">
        <v>11</v>
      </c>
      <c r="T20" s="11">
        <v>11</v>
      </c>
      <c r="U20" s="11">
        <v>11</v>
      </c>
      <c r="V20" s="36">
        <v>11</v>
      </c>
      <c r="W20" s="36">
        <v>11</v>
      </c>
      <c r="X20" s="11">
        <v>11</v>
      </c>
      <c r="Y20" s="11">
        <v>11</v>
      </c>
      <c r="Z20" s="11">
        <v>11</v>
      </c>
      <c r="AA20" s="11">
        <v>11</v>
      </c>
      <c r="AB20" s="11">
        <v>11</v>
      </c>
      <c r="AC20" s="36">
        <v>11</v>
      </c>
      <c r="AD20" s="36">
        <v>11</v>
      </c>
      <c r="AE20" s="11" t="s">
        <v>7</v>
      </c>
      <c r="AF20" s="11">
        <v>11</v>
      </c>
      <c r="AG20" s="11">
        <v>11</v>
      </c>
      <c r="AH20" s="11">
        <v>11</v>
      </c>
      <c r="AI20" s="17">
        <f t="shared" ref="AI20:AI27" si="2">SUM(D20:AH20)</f>
        <v>330</v>
      </c>
      <c r="AJ20" s="7">
        <f t="shared" ref="AJ20:AJ27" si="3">COUNT(D20:AH20)</f>
        <v>30</v>
      </c>
      <c r="AK20" s="14"/>
    </row>
    <row r="21" spans="1:37" ht="25.15" customHeight="1">
      <c r="A21" s="4">
        <v>69</v>
      </c>
      <c r="B21" s="12" t="s">
        <v>29</v>
      </c>
      <c r="C21" s="10" t="s">
        <v>12</v>
      </c>
      <c r="D21" s="11">
        <v>11</v>
      </c>
      <c r="E21" s="11">
        <v>11</v>
      </c>
      <c r="F21" s="11">
        <v>11</v>
      </c>
      <c r="G21" s="11">
        <v>11</v>
      </c>
      <c r="H21" s="36">
        <v>11</v>
      </c>
      <c r="I21" s="36" t="s">
        <v>10</v>
      </c>
      <c r="J21" s="11">
        <v>11</v>
      </c>
      <c r="K21" s="11">
        <v>11</v>
      </c>
      <c r="L21" s="11">
        <v>11</v>
      </c>
      <c r="M21" s="11">
        <v>11</v>
      </c>
      <c r="N21" s="11">
        <v>11</v>
      </c>
      <c r="O21" s="27">
        <v>11</v>
      </c>
      <c r="P21" s="27">
        <v>11</v>
      </c>
      <c r="Q21" s="11">
        <v>11</v>
      </c>
      <c r="R21" s="11">
        <v>11</v>
      </c>
      <c r="S21" s="9">
        <v>11</v>
      </c>
      <c r="T21" s="9">
        <v>11</v>
      </c>
      <c r="U21" s="9">
        <v>11</v>
      </c>
      <c r="V21" s="36" t="s">
        <v>10</v>
      </c>
      <c r="W21" s="36" t="s">
        <v>14</v>
      </c>
      <c r="X21" s="11" t="s">
        <v>9</v>
      </c>
      <c r="Y21" s="11" t="s">
        <v>9</v>
      </c>
      <c r="Z21" s="11" t="s">
        <v>9</v>
      </c>
      <c r="AA21" s="11" t="s">
        <v>9</v>
      </c>
      <c r="AB21" s="11" t="s">
        <v>9</v>
      </c>
      <c r="AC21" s="36" t="s">
        <v>9</v>
      </c>
      <c r="AD21" s="36" t="s">
        <v>9</v>
      </c>
      <c r="AE21" s="11" t="s">
        <v>9</v>
      </c>
      <c r="AF21" s="11" t="s">
        <v>9</v>
      </c>
      <c r="AG21" s="11" t="s">
        <v>9</v>
      </c>
      <c r="AH21" s="11" t="s">
        <v>9</v>
      </c>
      <c r="AI21" s="17">
        <f t="shared" si="2"/>
        <v>187</v>
      </c>
      <c r="AJ21" s="7">
        <f t="shared" si="3"/>
        <v>17</v>
      </c>
      <c r="AK21" s="14"/>
    </row>
    <row r="22" spans="1:37" ht="25.15" customHeight="1">
      <c r="A22" s="4">
        <v>73</v>
      </c>
      <c r="B22" s="8" t="s">
        <v>30</v>
      </c>
      <c r="C22" s="11" t="s">
        <v>12</v>
      </c>
      <c r="D22" s="11" t="s">
        <v>9</v>
      </c>
      <c r="E22" s="11" t="s">
        <v>9</v>
      </c>
      <c r="F22" s="11" t="s">
        <v>9</v>
      </c>
      <c r="G22" s="11" t="s">
        <v>9</v>
      </c>
      <c r="H22" s="36" t="s">
        <v>9</v>
      </c>
      <c r="I22" s="36" t="s">
        <v>9</v>
      </c>
      <c r="J22" s="11" t="s">
        <v>9</v>
      </c>
      <c r="K22" s="11" t="s">
        <v>9</v>
      </c>
      <c r="L22" s="9" t="s">
        <v>9</v>
      </c>
      <c r="M22" s="9" t="s">
        <v>9</v>
      </c>
      <c r="N22" s="11" t="s">
        <v>9</v>
      </c>
      <c r="O22" s="27" t="s">
        <v>9</v>
      </c>
      <c r="P22" s="27" t="s">
        <v>9</v>
      </c>
      <c r="Q22" s="9" t="s">
        <v>9</v>
      </c>
      <c r="R22" s="9" t="s">
        <v>9</v>
      </c>
      <c r="S22" s="11" t="s">
        <v>9</v>
      </c>
      <c r="T22" s="11" t="s">
        <v>14</v>
      </c>
      <c r="U22" s="11" t="s">
        <v>7</v>
      </c>
      <c r="V22" s="36">
        <v>11</v>
      </c>
      <c r="W22" s="36">
        <v>11</v>
      </c>
      <c r="X22" s="31" t="s">
        <v>40</v>
      </c>
      <c r="Y22" s="26"/>
      <c r="Z22" s="26"/>
      <c r="AA22" s="26"/>
      <c r="AB22" s="26"/>
      <c r="AC22" s="26"/>
      <c r="AD22" s="26"/>
      <c r="AE22" s="26"/>
      <c r="AF22" s="27"/>
      <c r="AG22" s="27"/>
      <c r="AH22" s="27"/>
      <c r="AI22" s="17">
        <f t="shared" si="2"/>
        <v>22</v>
      </c>
      <c r="AJ22" s="7">
        <f t="shared" si="3"/>
        <v>2</v>
      </c>
      <c r="AK22" s="14"/>
    </row>
    <row r="23" spans="1:37" ht="25.15" customHeight="1">
      <c r="A23" s="4">
        <v>83</v>
      </c>
      <c r="B23" s="12" t="s">
        <v>31</v>
      </c>
      <c r="C23" s="10" t="s">
        <v>12</v>
      </c>
      <c r="D23" s="9" t="s">
        <v>9</v>
      </c>
      <c r="E23" s="9" t="s">
        <v>9</v>
      </c>
      <c r="F23" s="9" t="s">
        <v>9</v>
      </c>
      <c r="G23" s="11" t="s">
        <v>9</v>
      </c>
      <c r="H23" s="36" t="s">
        <v>9</v>
      </c>
      <c r="I23" s="36" t="s">
        <v>9</v>
      </c>
      <c r="J23" s="11" t="s">
        <v>9</v>
      </c>
      <c r="K23" s="11" t="s">
        <v>9</v>
      </c>
      <c r="L23" s="9" t="s">
        <v>9</v>
      </c>
      <c r="M23" s="9" t="s">
        <v>9</v>
      </c>
      <c r="N23" s="11" t="s">
        <v>9</v>
      </c>
      <c r="O23" s="27" t="s">
        <v>9</v>
      </c>
      <c r="P23" s="27" t="s">
        <v>9</v>
      </c>
      <c r="Q23" s="9" t="s">
        <v>9</v>
      </c>
      <c r="R23" s="9" t="s">
        <v>9</v>
      </c>
      <c r="S23" s="11" t="s">
        <v>9</v>
      </c>
      <c r="T23" s="11" t="s">
        <v>9</v>
      </c>
      <c r="U23" s="11" t="s">
        <v>9</v>
      </c>
      <c r="V23" s="36" t="s">
        <v>9</v>
      </c>
      <c r="W23" s="36" t="s">
        <v>9</v>
      </c>
      <c r="X23" s="11" t="s">
        <v>9</v>
      </c>
      <c r="Y23" s="9" t="s">
        <v>9</v>
      </c>
      <c r="Z23" s="9" t="s">
        <v>9</v>
      </c>
      <c r="AA23" s="9" t="s">
        <v>9</v>
      </c>
      <c r="AB23" s="9" t="s">
        <v>9</v>
      </c>
      <c r="AC23" s="40" t="s">
        <v>9</v>
      </c>
      <c r="AD23" s="40" t="s">
        <v>9</v>
      </c>
      <c r="AE23" s="9" t="s">
        <v>9</v>
      </c>
      <c r="AF23" s="11" t="s">
        <v>9</v>
      </c>
      <c r="AG23" s="11" t="s">
        <v>9</v>
      </c>
      <c r="AH23" s="11" t="s">
        <v>9</v>
      </c>
      <c r="AI23" s="17">
        <f t="shared" si="2"/>
        <v>0</v>
      </c>
      <c r="AJ23" s="7">
        <f t="shared" si="3"/>
        <v>0</v>
      </c>
      <c r="AK23" s="14"/>
    </row>
    <row r="24" spans="1:37" ht="25.15" customHeight="1">
      <c r="A24" s="4">
        <v>85</v>
      </c>
      <c r="B24" s="12" t="s">
        <v>32</v>
      </c>
      <c r="C24" s="10" t="s">
        <v>12</v>
      </c>
      <c r="D24" s="9" t="s">
        <v>9</v>
      </c>
      <c r="E24" s="9" t="s">
        <v>9</v>
      </c>
      <c r="F24" s="9" t="s">
        <v>9</v>
      </c>
      <c r="G24" s="11" t="s">
        <v>9</v>
      </c>
      <c r="H24" s="36" t="s">
        <v>9</v>
      </c>
      <c r="I24" s="36" t="s">
        <v>9</v>
      </c>
      <c r="J24" s="11" t="s">
        <v>9</v>
      </c>
      <c r="K24" s="11" t="s">
        <v>9</v>
      </c>
      <c r="L24" s="9" t="s">
        <v>9</v>
      </c>
      <c r="M24" s="9" t="s">
        <v>9</v>
      </c>
      <c r="N24" s="11" t="s">
        <v>9</v>
      </c>
      <c r="O24" s="27" t="s">
        <v>9</v>
      </c>
      <c r="P24" s="27" t="s">
        <v>9</v>
      </c>
      <c r="Q24" s="9" t="s">
        <v>9</v>
      </c>
      <c r="R24" s="9" t="s">
        <v>9</v>
      </c>
      <c r="S24" s="11" t="s">
        <v>9</v>
      </c>
      <c r="T24" s="11" t="s">
        <v>9</v>
      </c>
      <c r="U24" s="11" t="s">
        <v>9</v>
      </c>
      <c r="V24" s="36" t="s">
        <v>9</v>
      </c>
      <c r="W24" s="36" t="s">
        <v>9</v>
      </c>
      <c r="X24" s="11" t="s">
        <v>9</v>
      </c>
      <c r="Y24" s="9" t="s">
        <v>9</v>
      </c>
      <c r="Z24" s="9" t="s">
        <v>9</v>
      </c>
      <c r="AA24" s="9" t="s">
        <v>9</v>
      </c>
      <c r="AB24" s="9" t="s">
        <v>9</v>
      </c>
      <c r="AC24" s="40" t="s">
        <v>9</v>
      </c>
      <c r="AD24" s="40" t="s">
        <v>9</v>
      </c>
      <c r="AE24" s="9" t="s">
        <v>9</v>
      </c>
      <c r="AF24" s="11" t="s">
        <v>9</v>
      </c>
      <c r="AG24" s="11" t="s">
        <v>9</v>
      </c>
      <c r="AH24" s="11" t="s">
        <v>9</v>
      </c>
      <c r="AI24" s="17">
        <f t="shared" si="2"/>
        <v>0</v>
      </c>
      <c r="AJ24" s="7">
        <f t="shared" si="3"/>
        <v>0</v>
      </c>
      <c r="AK24" s="14"/>
    </row>
    <row r="25" spans="1:37" ht="25.15" customHeight="1">
      <c r="A25" s="24">
        <v>86</v>
      </c>
      <c r="B25" s="12" t="s">
        <v>33</v>
      </c>
      <c r="C25" s="11" t="s">
        <v>12</v>
      </c>
      <c r="D25" s="9" t="s">
        <v>9</v>
      </c>
      <c r="E25" s="9" t="s">
        <v>9</v>
      </c>
      <c r="F25" s="9" t="s">
        <v>9</v>
      </c>
      <c r="G25" s="11" t="s">
        <v>9</v>
      </c>
      <c r="H25" s="36" t="s">
        <v>9</v>
      </c>
      <c r="I25" s="36" t="s">
        <v>9</v>
      </c>
      <c r="J25" s="11" t="s">
        <v>9</v>
      </c>
      <c r="K25" s="11" t="s">
        <v>9</v>
      </c>
      <c r="L25" s="9" t="s">
        <v>9</v>
      </c>
      <c r="M25" s="9" t="s">
        <v>9</v>
      </c>
      <c r="N25" s="11" t="s">
        <v>9</v>
      </c>
      <c r="O25" s="27" t="s">
        <v>9</v>
      </c>
      <c r="P25" s="27" t="s">
        <v>9</v>
      </c>
      <c r="Q25" s="9" t="s">
        <v>9</v>
      </c>
      <c r="R25" s="9" t="s">
        <v>9</v>
      </c>
      <c r="S25" s="11" t="s">
        <v>9</v>
      </c>
      <c r="T25" s="11" t="s">
        <v>9</v>
      </c>
      <c r="U25" s="11" t="s">
        <v>9</v>
      </c>
      <c r="V25" s="36" t="s">
        <v>9</v>
      </c>
      <c r="W25" s="36" t="s">
        <v>9</v>
      </c>
      <c r="X25" s="11" t="s">
        <v>9</v>
      </c>
      <c r="Y25" s="9" t="s">
        <v>9</v>
      </c>
      <c r="Z25" s="9" t="s">
        <v>9</v>
      </c>
      <c r="AA25" s="26" t="s">
        <v>14</v>
      </c>
      <c r="AB25" s="47" t="s">
        <v>40</v>
      </c>
      <c r="AC25" s="26"/>
      <c r="AD25" s="26"/>
      <c r="AE25" s="26"/>
      <c r="AF25" s="26"/>
      <c r="AG25" s="26"/>
      <c r="AH25" s="26"/>
      <c r="AI25" s="17">
        <f t="shared" si="2"/>
        <v>0</v>
      </c>
      <c r="AJ25" s="7">
        <f t="shared" si="3"/>
        <v>0</v>
      </c>
      <c r="AK25" s="14"/>
    </row>
    <row r="26" spans="1:37" ht="25.15" customHeight="1">
      <c r="A26" s="4">
        <v>93</v>
      </c>
      <c r="B26" s="39" t="s">
        <v>34</v>
      </c>
      <c r="C26" s="11" t="s">
        <v>12</v>
      </c>
      <c r="D26" s="9" t="s">
        <v>9</v>
      </c>
      <c r="E26" s="9" t="s">
        <v>9</v>
      </c>
      <c r="F26" s="9" t="s">
        <v>9</v>
      </c>
      <c r="G26" s="11" t="s">
        <v>9</v>
      </c>
      <c r="H26" s="36" t="s">
        <v>9</v>
      </c>
      <c r="I26" s="36" t="s">
        <v>9</v>
      </c>
      <c r="J26" s="11" t="s">
        <v>9</v>
      </c>
      <c r="K26" s="11" t="s">
        <v>9</v>
      </c>
      <c r="L26" s="9" t="s">
        <v>9</v>
      </c>
      <c r="M26" s="9" t="s">
        <v>9</v>
      </c>
      <c r="N26" s="11" t="s">
        <v>9</v>
      </c>
      <c r="O26" s="27" t="s">
        <v>9</v>
      </c>
      <c r="P26" s="27" t="s">
        <v>9</v>
      </c>
      <c r="Q26" s="9" t="s">
        <v>9</v>
      </c>
      <c r="R26" s="9" t="s">
        <v>9</v>
      </c>
      <c r="S26" s="11" t="s">
        <v>9</v>
      </c>
      <c r="T26" s="11" t="s">
        <v>9</v>
      </c>
      <c r="U26" s="11" t="s">
        <v>9</v>
      </c>
      <c r="V26" s="36" t="s">
        <v>9</v>
      </c>
      <c r="W26" s="36" t="s">
        <v>9</v>
      </c>
      <c r="X26" s="11" t="s">
        <v>9</v>
      </c>
      <c r="Y26" s="9" t="s">
        <v>9</v>
      </c>
      <c r="Z26" s="9" t="s">
        <v>9</v>
      </c>
      <c r="AA26" s="9" t="s">
        <v>9</v>
      </c>
      <c r="AB26" s="9" t="s">
        <v>9</v>
      </c>
      <c r="AC26" s="40" t="s">
        <v>9</v>
      </c>
      <c r="AD26" s="40" t="s">
        <v>9</v>
      </c>
      <c r="AE26" s="9" t="s">
        <v>9</v>
      </c>
      <c r="AF26" s="11" t="s">
        <v>9</v>
      </c>
      <c r="AG26" s="11" t="s">
        <v>9</v>
      </c>
      <c r="AH26" s="11" t="s">
        <v>9</v>
      </c>
      <c r="AI26" s="17">
        <f t="shared" si="2"/>
        <v>0</v>
      </c>
      <c r="AJ26" s="7">
        <f t="shared" si="3"/>
        <v>0</v>
      </c>
      <c r="AK26" s="14"/>
    </row>
    <row r="27" spans="1:37" ht="25.15" customHeight="1">
      <c r="A27" s="24">
        <v>98</v>
      </c>
      <c r="B27" s="39" t="s">
        <v>35</v>
      </c>
      <c r="C27" s="43" t="s">
        <v>12</v>
      </c>
      <c r="D27" s="9" t="s">
        <v>9</v>
      </c>
      <c r="E27" s="9" t="s">
        <v>9</v>
      </c>
      <c r="F27" s="9" t="s">
        <v>9</v>
      </c>
      <c r="G27" s="11" t="s">
        <v>9</v>
      </c>
      <c r="H27" s="36" t="s">
        <v>9</v>
      </c>
      <c r="I27" s="36" t="s">
        <v>9</v>
      </c>
      <c r="J27" s="11" t="s">
        <v>9</v>
      </c>
      <c r="K27" s="11" t="s">
        <v>9</v>
      </c>
      <c r="L27" s="9" t="s">
        <v>9</v>
      </c>
      <c r="M27" s="9" t="s">
        <v>9</v>
      </c>
      <c r="N27" s="11" t="s">
        <v>9</v>
      </c>
      <c r="O27" s="27" t="s">
        <v>9</v>
      </c>
      <c r="P27" s="27" t="s">
        <v>9</v>
      </c>
      <c r="Q27" s="9" t="s">
        <v>9</v>
      </c>
      <c r="R27" s="9" t="s">
        <v>9</v>
      </c>
      <c r="S27" s="11" t="s">
        <v>9</v>
      </c>
      <c r="T27" s="11" t="s">
        <v>9</v>
      </c>
      <c r="U27" s="11" t="s">
        <v>9</v>
      </c>
      <c r="V27" s="36" t="s">
        <v>9</v>
      </c>
      <c r="W27" s="36" t="s">
        <v>9</v>
      </c>
      <c r="X27" s="11" t="s">
        <v>9</v>
      </c>
      <c r="Y27" s="9" t="s">
        <v>9</v>
      </c>
      <c r="Z27" s="9" t="s">
        <v>9</v>
      </c>
      <c r="AA27" s="9" t="s">
        <v>9</v>
      </c>
      <c r="AB27" s="9" t="s">
        <v>9</v>
      </c>
      <c r="AC27" s="40" t="s">
        <v>9</v>
      </c>
      <c r="AD27" s="40" t="s">
        <v>9</v>
      </c>
      <c r="AE27" s="9" t="s">
        <v>9</v>
      </c>
      <c r="AF27" s="11" t="s">
        <v>9</v>
      </c>
      <c r="AG27" s="11" t="s">
        <v>9</v>
      </c>
      <c r="AH27" s="11" t="s">
        <v>9</v>
      </c>
      <c r="AI27" s="17">
        <f t="shared" si="2"/>
        <v>0</v>
      </c>
      <c r="AJ27" s="7">
        <f t="shared" si="3"/>
        <v>0</v>
      </c>
      <c r="AK27" s="14"/>
    </row>
  </sheetData>
  <autoFilter ref="A4:AJ27" xr:uid="{00000000-0009-0000-0000-000003000000}"/>
  <mergeCells count="6">
    <mergeCell ref="AI1:AI3"/>
    <mergeCell ref="AJ1:AJ3"/>
    <mergeCell ref="D1:AH2"/>
    <mergeCell ref="A1:A3"/>
    <mergeCell ref="B1:B3"/>
    <mergeCell ref="C1:C3"/>
  </mergeCells>
  <conditionalFormatting sqref="B6:B7">
    <cfRule type="duplicateValues" dxfId="9" priority="591"/>
  </conditionalFormatting>
  <conditionalFormatting sqref="B8">
    <cfRule type="duplicateValues" dxfId="8" priority="146"/>
  </conditionalFormatting>
  <conditionalFormatting sqref="B11">
    <cfRule type="duplicateValues" dxfId="7" priority="140"/>
  </conditionalFormatting>
  <conditionalFormatting sqref="B18">
    <cfRule type="duplicateValues" dxfId="6" priority="150"/>
  </conditionalFormatting>
  <conditionalFormatting sqref="B26">
    <cfRule type="duplicateValues" dxfId="5" priority="587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K28"/>
  <sheetViews>
    <sheetView tabSelected="1" zoomScale="50" zoomScaleNormal="50" workbookViewId="0">
      <selection activeCell="AJ51" sqref="AJ51"/>
    </sheetView>
  </sheetViews>
  <sheetFormatPr defaultColWidth="9" defaultRowHeight="15"/>
  <cols>
    <col min="1" max="1" width="7.28515625" customWidth="1"/>
    <col min="2" max="2" width="54.85546875" style="32" customWidth="1"/>
    <col min="3" max="3" width="23.7109375" style="33" customWidth="1"/>
    <col min="4" max="34" width="4.7109375" style="33" customWidth="1"/>
    <col min="35" max="36" width="10.7109375" customWidth="1"/>
    <col min="37" max="37" width="40.42578125" customWidth="1"/>
  </cols>
  <sheetData>
    <row r="1" spans="1:37" ht="18" customHeight="1">
      <c r="A1" s="78" t="s">
        <v>0</v>
      </c>
      <c r="B1" s="79" t="s">
        <v>1</v>
      </c>
      <c r="C1" s="80" t="s">
        <v>2</v>
      </c>
      <c r="D1" s="90" t="s">
        <v>41</v>
      </c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2"/>
      <c r="AI1" s="82" t="s">
        <v>4</v>
      </c>
      <c r="AJ1" s="82" t="s">
        <v>5</v>
      </c>
      <c r="AK1" s="14"/>
    </row>
    <row r="2" spans="1:37" ht="18" customHeight="1">
      <c r="A2" s="78"/>
      <c r="B2" s="79"/>
      <c r="C2" s="80"/>
      <c r="D2" s="93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5"/>
      <c r="AI2" s="82"/>
      <c r="AJ2" s="82"/>
      <c r="AK2" s="14"/>
    </row>
    <row r="3" spans="1:37" ht="18" customHeight="1">
      <c r="A3" s="78"/>
      <c r="B3" s="79"/>
      <c r="C3" s="80"/>
      <c r="D3" s="15">
        <v>1</v>
      </c>
      <c r="E3" s="34">
        <v>2</v>
      </c>
      <c r="F3" s="34">
        <v>3</v>
      </c>
      <c r="G3" s="15">
        <v>4</v>
      </c>
      <c r="H3" s="15">
        <v>5</v>
      </c>
      <c r="I3" s="15">
        <v>6</v>
      </c>
      <c r="J3" s="15">
        <v>7</v>
      </c>
      <c r="K3" s="15">
        <v>8</v>
      </c>
      <c r="L3" s="34">
        <v>9</v>
      </c>
      <c r="M3" s="34">
        <v>10</v>
      </c>
      <c r="N3" s="15">
        <v>11</v>
      </c>
      <c r="O3" s="15">
        <v>12</v>
      </c>
      <c r="P3" s="42">
        <v>13</v>
      </c>
      <c r="Q3" s="15">
        <v>14</v>
      </c>
      <c r="R3" s="15">
        <v>15</v>
      </c>
      <c r="S3" s="34">
        <v>16</v>
      </c>
      <c r="T3" s="34">
        <v>17</v>
      </c>
      <c r="U3" s="15">
        <v>18</v>
      </c>
      <c r="V3" s="15">
        <v>19</v>
      </c>
      <c r="W3" s="15">
        <v>20</v>
      </c>
      <c r="X3" s="15">
        <v>21</v>
      </c>
      <c r="Y3" s="15">
        <v>22</v>
      </c>
      <c r="Z3" s="34">
        <v>23</v>
      </c>
      <c r="AA3" s="34">
        <v>24</v>
      </c>
      <c r="AB3" s="15">
        <v>25</v>
      </c>
      <c r="AC3" s="15">
        <v>26</v>
      </c>
      <c r="AD3" s="15">
        <v>27</v>
      </c>
      <c r="AE3" s="15">
        <v>28</v>
      </c>
      <c r="AF3" s="15">
        <v>29</v>
      </c>
      <c r="AG3" s="34">
        <v>30</v>
      </c>
      <c r="AH3" s="34">
        <v>31</v>
      </c>
      <c r="AI3" s="82"/>
      <c r="AJ3" s="82"/>
      <c r="AK3" s="14"/>
    </row>
    <row r="4" spans="1:37" ht="25.15" customHeight="1">
      <c r="A4" s="1"/>
      <c r="B4" s="2"/>
      <c r="C4" s="3"/>
      <c r="D4" s="19"/>
      <c r="E4" s="35"/>
      <c r="F4" s="35"/>
      <c r="G4" s="19"/>
      <c r="H4" s="19"/>
      <c r="I4" s="19"/>
      <c r="J4" s="19"/>
      <c r="K4" s="19"/>
      <c r="L4" s="35"/>
      <c r="M4" s="35"/>
      <c r="N4" s="19"/>
      <c r="O4" s="19"/>
      <c r="P4" s="9"/>
      <c r="Q4" s="19"/>
      <c r="R4" s="19"/>
      <c r="S4" s="35"/>
      <c r="T4" s="35"/>
      <c r="U4" s="19"/>
      <c r="V4" s="19"/>
      <c r="W4" s="19"/>
      <c r="X4" s="19"/>
      <c r="Y4" s="19"/>
      <c r="Z4" s="35"/>
      <c r="AA4" s="35"/>
      <c r="AB4" s="19"/>
      <c r="AC4" s="19"/>
      <c r="AD4" s="19"/>
      <c r="AE4" s="19"/>
      <c r="AF4" s="19"/>
      <c r="AG4" s="35"/>
      <c r="AH4" s="35"/>
      <c r="AI4" s="16"/>
      <c r="AJ4" s="16"/>
      <c r="AK4" s="14"/>
    </row>
    <row r="5" spans="1:37" ht="25.15" customHeight="1">
      <c r="A5" s="24">
        <v>6</v>
      </c>
      <c r="B5" s="6" t="s">
        <v>11</v>
      </c>
      <c r="C5" s="20" t="s">
        <v>12</v>
      </c>
      <c r="D5" s="20">
        <v>11</v>
      </c>
      <c r="E5" s="38">
        <v>11</v>
      </c>
      <c r="F5" s="38">
        <v>11</v>
      </c>
      <c r="G5" s="20" t="s">
        <v>7</v>
      </c>
      <c r="H5" s="7">
        <v>11</v>
      </c>
      <c r="I5" s="7">
        <v>11</v>
      </c>
      <c r="J5" s="7">
        <v>11</v>
      </c>
      <c r="K5" s="9">
        <v>11</v>
      </c>
      <c r="L5" s="40">
        <v>11</v>
      </c>
      <c r="M5" s="40" t="s">
        <v>10</v>
      </c>
      <c r="N5" s="9">
        <v>11</v>
      </c>
      <c r="O5" s="9">
        <v>11</v>
      </c>
      <c r="P5" s="9" t="s">
        <v>7</v>
      </c>
      <c r="Q5" s="9" t="s">
        <v>14</v>
      </c>
      <c r="R5" s="11" t="s">
        <v>9</v>
      </c>
      <c r="S5" s="36" t="s">
        <v>9</v>
      </c>
      <c r="T5" s="36" t="s">
        <v>9</v>
      </c>
      <c r="U5" s="7" t="s">
        <v>9</v>
      </c>
      <c r="V5" s="7" t="s">
        <v>9</v>
      </c>
      <c r="W5" s="7" t="s">
        <v>9</v>
      </c>
      <c r="X5" s="7" t="s">
        <v>9</v>
      </c>
      <c r="Y5" s="7" t="s">
        <v>9</v>
      </c>
      <c r="Z5" s="37" t="s">
        <v>9</v>
      </c>
      <c r="AA5" s="37" t="s">
        <v>9</v>
      </c>
      <c r="AB5" s="7" t="s">
        <v>9</v>
      </c>
      <c r="AC5" s="7" t="s">
        <v>9</v>
      </c>
      <c r="AD5" s="7" t="s">
        <v>9</v>
      </c>
      <c r="AE5" s="7" t="s">
        <v>9</v>
      </c>
      <c r="AF5" s="7" t="s">
        <v>9</v>
      </c>
      <c r="AG5" s="37" t="s">
        <v>9</v>
      </c>
      <c r="AH5" s="37" t="s">
        <v>9</v>
      </c>
      <c r="AI5" s="17">
        <f t="shared" ref="AI5:AI9" si="0">SUM(D5:AH5)</f>
        <v>110</v>
      </c>
      <c r="AJ5" s="7">
        <f t="shared" ref="AJ5:AJ9" si="1">COUNT(D5:AH5)</f>
        <v>10</v>
      </c>
      <c r="AK5" s="14"/>
    </row>
    <row r="6" spans="1:37" ht="25.15" customHeight="1">
      <c r="A6" s="4">
        <v>9</v>
      </c>
      <c r="B6" s="8" t="s">
        <v>13</v>
      </c>
      <c r="C6" s="11" t="s">
        <v>12</v>
      </c>
      <c r="D6" s="11" t="s">
        <v>9</v>
      </c>
      <c r="E6" s="36" t="s">
        <v>9</v>
      </c>
      <c r="F6" s="36" t="s">
        <v>9</v>
      </c>
      <c r="G6" s="11" t="s">
        <v>9</v>
      </c>
      <c r="H6" s="11" t="s">
        <v>9</v>
      </c>
      <c r="I6" s="11" t="s">
        <v>9</v>
      </c>
      <c r="J6" s="11" t="s">
        <v>9</v>
      </c>
      <c r="K6" s="11" t="s">
        <v>9</v>
      </c>
      <c r="L6" s="40" t="s">
        <v>9</v>
      </c>
      <c r="M6" s="40" t="s">
        <v>9</v>
      </c>
      <c r="N6" s="11" t="s">
        <v>9</v>
      </c>
      <c r="O6" s="11" t="s">
        <v>9</v>
      </c>
      <c r="P6" s="11" t="s">
        <v>9</v>
      </c>
      <c r="Q6" s="9" t="s">
        <v>9</v>
      </c>
      <c r="R6" s="9" t="s">
        <v>9</v>
      </c>
      <c r="S6" s="36" t="s">
        <v>9</v>
      </c>
      <c r="T6" s="36" t="s">
        <v>9</v>
      </c>
      <c r="U6" s="11" t="s">
        <v>9</v>
      </c>
      <c r="V6" s="11" t="s">
        <v>9</v>
      </c>
      <c r="W6" s="11" t="s">
        <v>9</v>
      </c>
      <c r="X6" s="11" t="s">
        <v>9</v>
      </c>
      <c r="Y6" s="9" t="s">
        <v>9</v>
      </c>
      <c r="Z6" s="40" t="s">
        <v>9</v>
      </c>
      <c r="AA6" s="40" t="s">
        <v>9</v>
      </c>
      <c r="AB6" s="9" t="s">
        <v>9</v>
      </c>
      <c r="AC6" s="9" t="s">
        <v>9</v>
      </c>
      <c r="AD6" s="9" t="s">
        <v>9</v>
      </c>
      <c r="AE6" s="9" t="s">
        <v>9</v>
      </c>
      <c r="AF6" s="11" t="s">
        <v>9</v>
      </c>
      <c r="AG6" s="36" t="s">
        <v>9</v>
      </c>
      <c r="AH6" s="36" t="s">
        <v>9</v>
      </c>
      <c r="AI6" s="17">
        <f t="shared" si="0"/>
        <v>0</v>
      </c>
      <c r="AJ6" s="7">
        <f t="shared" si="1"/>
        <v>0</v>
      </c>
      <c r="AK6" s="14"/>
    </row>
    <row r="7" spans="1:37" ht="25.15" customHeight="1">
      <c r="A7" s="4">
        <v>11</v>
      </c>
      <c r="B7" s="12" t="s">
        <v>15</v>
      </c>
      <c r="C7" s="11" t="s">
        <v>12</v>
      </c>
      <c r="D7" s="11" t="s">
        <v>9</v>
      </c>
      <c r="E7" s="36" t="s">
        <v>9</v>
      </c>
      <c r="F7" s="36" t="s">
        <v>9</v>
      </c>
      <c r="G7" s="11" t="s">
        <v>9</v>
      </c>
      <c r="H7" s="11" t="s">
        <v>9</v>
      </c>
      <c r="I7" s="11" t="s">
        <v>9</v>
      </c>
      <c r="J7" s="11" t="s">
        <v>9</v>
      </c>
      <c r="K7" s="11" t="s">
        <v>9</v>
      </c>
      <c r="L7" s="40" t="s">
        <v>9</v>
      </c>
      <c r="M7" s="40" t="s">
        <v>9</v>
      </c>
      <c r="N7" s="11" t="s">
        <v>9</v>
      </c>
      <c r="O7" s="11" t="s">
        <v>9</v>
      </c>
      <c r="P7" s="11" t="s">
        <v>9</v>
      </c>
      <c r="Q7" s="9" t="s">
        <v>9</v>
      </c>
      <c r="R7" s="9" t="s">
        <v>9</v>
      </c>
      <c r="S7" s="36" t="s">
        <v>9</v>
      </c>
      <c r="T7" s="36" t="s">
        <v>9</v>
      </c>
      <c r="U7" s="11" t="s">
        <v>9</v>
      </c>
      <c r="V7" s="11" t="s">
        <v>9</v>
      </c>
      <c r="W7" s="11" t="s">
        <v>9</v>
      </c>
      <c r="X7" s="11" t="s">
        <v>9</v>
      </c>
      <c r="Y7" s="9" t="s">
        <v>9</v>
      </c>
      <c r="Z7" s="40" t="s">
        <v>9</v>
      </c>
      <c r="AA7" s="40" t="s">
        <v>9</v>
      </c>
      <c r="AB7" s="9" t="s">
        <v>9</v>
      </c>
      <c r="AC7" s="9" t="s">
        <v>9</v>
      </c>
      <c r="AD7" s="9" t="s">
        <v>9</v>
      </c>
      <c r="AE7" s="9" t="s">
        <v>9</v>
      </c>
      <c r="AF7" s="11" t="s">
        <v>9</v>
      </c>
      <c r="AG7" s="36" t="s">
        <v>9</v>
      </c>
      <c r="AH7" s="36" t="s">
        <v>9</v>
      </c>
      <c r="AI7" s="17">
        <f t="shared" si="0"/>
        <v>0</v>
      </c>
      <c r="AJ7" s="7">
        <f t="shared" si="1"/>
        <v>0</v>
      </c>
      <c r="AK7" s="14"/>
    </row>
    <row r="8" spans="1:37" ht="25.15" customHeight="1">
      <c r="A8" s="4">
        <v>17</v>
      </c>
      <c r="B8" s="8" t="s">
        <v>16</v>
      </c>
      <c r="C8" s="10" t="s">
        <v>12</v>
      </c>
      <c r="D8" s="9" t="s">
        <v>9</v>
      </c>
      <c r="E8" s="40" t="s">
        <v>9</v>
      </c>
      <c r="F8" s="40" t="s">
        <v>9</v>
      </c>
      <c r="G8" s="11" t="s">
        <v>9</v>
      </c>
      <c r="H8" s="11" t="s">
        <v>9</v>
      </c>
      <c r="I8" s="11" t="s">
        <v>9</v>
      </c>
      <c r="J8" s="11" t="s">
        <v>9</v>
      </c>
      <c r="K8" s="11" t="s">
        <v>9</v>
      </c>
      <c r="L8" s="40" t="s">
        <v>9</v>
      </c>
      <c r="M8" s="40" t="s">
        <v>9</v>
      </c>
      <c r="N8" s="11" t="s">
        <v>9</v>
      </c>
      <c r="O8" s="11" t="s">
        <v>9</v>
      </c>
      <c r="P8" s="11" t="s">
        <v>9</v>
      </c>
      <c r="Q8" s="9" t="s">
        <v>9</v>
      </c>
      <c r="R8" s="9" t="s">
        <v>9</v>
      </c>
      <c r="S8" s="36" t="s">
        <v>9</v>
      </c>
      <c r="T8" s="36" t="s">
        <v>9</v>
      </c>
      <c r="U8" s="11" t="s">
        <v>9</v>
      </c>
      <c r="V8" s="11" t="s">
        <v>9</v>
      </c>
      <c r="W8" s="11" t="s">
        <v>9</v>
      </c>
      <c r="X8" s="11" t="s">
        <v>9</v>
      </c>
      <c r="Y8" s="9" t="s">
        <v>9</v>
      </c>
      <c r="Z8" s="40" t="s">
        <v>9</v>
      </c>
      <c r="AA8" s="40" t="s">
        <v>9</v>
      </c>
      <c r="AB8" s="23"/>
      <c r="AC8" s="28"/>
      <c r="AD8" s="23"/>
      <c r="AE8" s="22"/>
      <c r="AF8" s="22"/>
      <c r="AG8" s="22"/>
      <c r="AH8" s="22"/>
      <c r="AI8" s="17">
        <f t="shared" si="0"/>
        <v>0</v>
      </c>
      <c r="AJ8" s="7">
        <f t="shared" si="1"/>
        <v>0</v>
      </c>
      <c r="AK8" s="14"/>
    </row>
    <row r="9" spans="1:37" ht="25.15" customHeight="1">
      <c r="A9" s="4">
        <v>21</v>
      </c>
      <c r="B9" s="41" t="s">
        <v>17</v>
      </c>
      <c r="C9" s="10" t="s">
        <v>12</v>
      </c>
      <c r="D9" s="9" t="s">
        <v>9</v>
      </c>
      <c r="E9" s="40" t="s">
        <v>9</v>
      </c>
      <c r="F9" s="40" t="s">
        <v>9</v>
      </c>
      <c r="G9" s="11" t="s">
        <v>9</v>
      </c>
      <c r="H9" s="11" t="s">
        <v>9</v>
      </c>
      <c r="I9" s="11" t="s">
        <v>9</v>
      </c>
      <c r="J9" s="11" t="s">
        <v>9</v>
      </c>
      <c r="K9" s="11" t="s">
        <v>9</v>
      </c>
      <c r="L9" s="40" t="s">
        <v>9</v>
      </c>
      <c r="M9" s="40" t="s">
        <v>9</v>
      </c>
      <c r="N9" s="11" t="s">
        <v>9</v>
      </c>
      <c r="O9" s="11" t="s">
        <v>9</v>
      </c>
      <c r="P9" s="11" t="s">
        <v>9</v>
      </c>
      <c r="Q9" s="9" t="s">
        <v>9</v>
      </c>
      <c r="R9" s="9" t="s">
        <v>9</v>
      </c>
      <c r="S9" s="36" t="s">
        <v>9</v>
      </c>
      <c r="T9" s="36" t="s">
        <v>9</v>
      </c>
      <c r="U9" s="11" t="s">
        <v>9</v>
      </c>
      <c r="V9" s="11" t="s">
        <v>9</v>
      </c>
      <c r="W9" s="11" t="s">
        <v>9</v>
      </c>
      <c r="X9" s="11" t="s">
        <v>9</v>
      </c>
      <c r="Y9" s="28" t="s">
        <v>8</v>
      </c>
      <c r="Z9" s="28" t="s">
        <v>8</v>
      </c>
      <c r="AA9" s="28" t="s">
        <v>8</v>
      </c>
      <c r="AB9" s="28" t="s">
        <v>8</v>
      </c>
      <c r="AC9" s="28" t="s">
        <v>8</v>
      </c>
      <c r="AD9" s="28" t="s">
        <v>8</v>
      </c>
      <c r="AE9" s="28" t="s">
        <v>8</v>
      </c>
      <c r="AF9" s="28" t="s">
        <v>8</v>
      </c>
      <c r="AG9" s="28" t="s">
        <v>8</v>
      </c>
      <c r="AH9" s="28" t="s">
        <v>8</v>
      </c>
      <c r="AI9" s="17">
        <f t="shared" si="0"/>
        <v>0</v>
      </c>
      <c r="AJ9" s="7">
        <f t="shared" si="1"/>
        <v>0</v>
      </c>
      <c r="AK9" s="14"/>
    </row>
    <row r="10" spans="1:37" ht="25.15" customHeight="1">
      <c r="A10" s="4">
        <v>31</v>
      </c>
      <c r="B10" s="12" t="s">
        <v>18</v>
      </c>
      <c r="C10" s="10" t="s">
        <v>12</v>
      </c>
      <c r="D10" s="28"/>
      <c r="E10" s="23"/>
      <c r="F10" s="23"/>
      <c r="G10" s="22"/>
      <c r="H10" s="22"/>
      <c r="I10" s="22"/>
      <c r="J10" s="22"/>
      <c r="K10" s="22"/>
      <c r="L10" s="23"/>
      <c r="M10" s="23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5"/>
      <c r="AC10" s="25"/>
      <c r="AD10" s="25"/>
      <c r="AE10" s="25"/>
      <c r="AF10" s="25"/>
      <c r="AG10" s="22"/>
      <c r="AH10" s="22"/>
      <c r="AI10" s="17">
        <f t="shared" ref="AI10:AI19" si="2">SUM(D10:AH10)</f>
        <v>0</v>
      </c>
      <c r="AJ10" s="7">
        <f t="shared" ref="AJ10:AJ19" si="3">COUNT(D10:AH10)</f>
        <v>0</v>
      </c>
      <c r="AK10" s="14"/>
    </row>
    <row r="11" spans="1:37" ht="25.15" customHeight="1">
      <c r="A11" s="4">
        <v>33</v>
      </c>
      <c r="B11" s="41" t="s">
        <v>19</v>
      </c>
      <c r="C11" s="11" t="s">
        <v>12</v>
      </c>
      <c r="D11" s="11">
        <v>11</v>
      </c>
      <c r="E11" s="36" t="s">
        <v>14</v>
      </c>
      <c r="F11" s="36" t="s">
        <v>9</v>
      </c>
      <c r="G11" s="11" t="s">
        <v>9</v>
      </c>
      <c r="H11" s="11" t="s">
        <v>9</v>
      </c>
      <c r="I11" s="11" t="s">
        <v>9</v>
      </c>
      <c r="J11" s="11" t="s">
        <v>9</v>
      </c>
      <c r="K11" s="11" t="s">
        <v>9</v>
      </c>
      <c r="L11" s="40" t="s">
        <v>9</v>
      </c>
      <c r="M11" s="40" t="s">
        <v>9</v>
      </c>
      <c r="N11" s="11" t="s">
        <v>9</v>
      </c>
      <c r="O11" s="11" t="s">
        <v>9</v>
      </c>
      <c r="P11" s="11" t="s">
        <v>9</v>
      </c>
      <c r="Q11" s="9" t="s">
        <v>9</v>
      </c>
      <c r="R11" s="9" t="s">
        <v>9</v>
      </c>
      <c r="S11" s="36" t="s">
        <v>9</v>
      </c>
      <c r="T11" s="36" t="s">
        <v>9</v>
      </c>
      <c r="U11" s="11" t="s">
        <v>9</v>
      </c>
      <c r="V11" s="11" t="s">
        <v>9</v>
      </c>
      <c r="W11" s="11" t="s">
        <v>9</v>
      </c>
      <c r="X11" s="11" t="s">
        <v>9</v>
      </c>
      <c r="Y11" s="9" t="s">
        <v>9</v>
      </c>
      <c r="Z11" s="40" t="s">
        <v>9</v>
      </c>
      <c r="AA11" s="40" t="s">
        <v>9</v>
      </c>
      <c r="AB11" s="9" t="s">
        <v>9</v>
      </c>
      <c r="AC11" s="9" t="s">
        <v>9</v>
      </c>
      <c r="AD11" s="9" t="s">
        <v>9</v>
      </c>
      <c r="AE11" s="9" t="s">
        <v>9</v>
      </c>
      <c r="AF11" s="11" t="s">
        <v>9</v>
      </c>
      <c r="AG11" s="36" t="s">
        <v>9</v>
      </c>
      <c r="AH11" s="36" t="s">
        <v>9</v>
      </c>
      <c r="AI11" s="17">
        <f t="shared" si="2"/>
        <v>11</v>
      </c>
      <c r="AJ11" s="7">
        <f t="shared" si="3"/>
        <v>1</v>
      </c>
      <c r="AK11" s="14"/>
    </row>
    <row r="12" spans="1:37" ht="25.15" customHeight="1">
      <c r="A12" s="24">
        <v>38</v>
      </c>
      <c r="B12" s="41" t="s">
        <v>20</v>
      </c>
      <c r="C12" s="10" t="s">
        <v>12</v>
      </c>
      <c r="D12" s="11" t="s">
        <v>9</v>
      </c>
      <c r="E12" s="40" t="s">
        <v>9</v>
      </c>
      <c r="F12" s="36" t="s">
        <v>9</v>
      </c>
      <c r="G12" s="11" t="s">
        <v>9</v>
      </c>
      <c r="H12" s="11" t="s">
        <v>9</v>
      </c>
      <c r="I12" s="11" t="s">
        <v>9</v>
      </c>
      <c r="J12" s="11" t="s">
        <v>9</v>
      </c>
      <c r="K12" s="11" t="s">
        <v>9</v>
      </c>
      <c r="L12" s="40" t="s">
        <v>9</v>
      </c>
      <c r="M12" s="40" t="s">
        <v>9</v>
      </c>
      <c r="N12" s="11" t="s">
        <v>9</v>
      </c>
      <c r="O12" s="11" t="s">
        <v>9</v>
      </c>
      <c r="P12" s="11" t="s">
        <v>9</v>
      </c>
      <c r="Q12" s="9" t="s">
        <v>9</v>
      </c>
      <c r="R12" s="9" t="s">
        <v>9</v>
      </c>
      <c r="S12" s="36" t="s">
        <v>9</v>
      </c>
      <c r="T12" s="36" t="s">
        <v>9</v>
      </c>
      <c r="U12" s="11" t="s">
        <v>9</v>
      </c>
      <c r="V12" s="11" t="s">
        <v>9</v>
      </c>
      <c r="W12" s="11" t="s">
        <v>9</v>
      </c>
      <c r="X12" s="11" t="s">
        <v>9</v>
      </c>
      <c r="Y12" s="9" t="s">
        <v>9</v>
      </c>
      <c r="Z12" s="40" t="s">
        <v>9</v>
      </c>
      <c r="AA12" s="40" t="s">
        <v>9</v>
      </c>
      <c r="AB12" s="9" t="s">
        <v>9</v>
      </c>
      <c r="AC12" s="9" t="s">
        <v>9</v>
      </c>
      <c r="AD12" s="9" t="s">
        <v>9</v>
      </c>
      <c r="AE12" s="9" t="s">
        <v>9</v>
      </c>
      <c r="AF12" s="11" t="s">
        <v>9</v>
      </c>
      <c r="AG12" s="36" t="s">
        <v>9</v>
      </c>
      <c r="AH12" s="36" t="s">
        <v>9</v>
      </c>
      <c r="AI12" s="17">
        <f t="shared" si="2"/>
        <v>0</v>
      </c>
      <c r="AJ12" s="7">
        <f t="shared" si="3"/>
        <v>0</v>
      </c>
      <c r="AK12" s="14"/>
    </row>
    <row r="13" spans="1:37" ht="25.15" customHeight="1">
      <c r="A13" s="4">
        <v>39</v>
      </c>
      <c r="B13" s="12" t="s">
        <v>21</v>
      </c>
      <c r="C13" s="11" t="s">
        <v>12</v>
      </c>
      <c r="D13" s="11">
        <v>11</v>
      </c>
      <c r="E13" s="36">
        <v>11</v>
      </c>
      <c r="F13" s="36" t="s">
        <v>10</v>
      </c>
      <c r="G13" s="11">
        <v>11</v>
      </c>
      <c r="H13" s="11">
        <v>11</v>
      </c>
      <c r="I13" s="11">
        <v>11</v>
      </c>
      <c r="J13" s="11">
        <v>11</v>
      </c>
      <c r="K13" s="11">
        <v>11</v>
      </c>
      <c r="L13" s="36">
        <v>11</v>
      </c>
      <c r="M13" s="36" t="s">
        <v>10</v>
      </c>
      <c r="N13" s="11">
        <v>11</v>
      </c>
      <c r="O13" s="11" t="s">
        <v>7</v>
      </c>
      <c r="P13" s="11" t="s">
        <v>7</v>
      </c>
      <c r="Q13" s="11" t="s">
        <v>7</v>
      </c>
      <c r="R13" s="11">
        <v>11</v>
      </c>
      <c r="S13" s="36">
        <v>11</v>
      </c>
      <c r="T13" s="36">
        <v>11</v>
      </c>
      <c r="U13" s="11">
        <v>11</v>
      </c>
      <c r="V13" s="11">
        <v>11</v>
      </c>
      <c r="W13" s="11">
        <v>11</v>
      </c>
      <c r="X13" s="11">
        <v>11</v>
      </c>
      <c r="Y13" s="11">
        <v>11</v>
      </c>
      <c r="Z13" s="36">
        <v>11</v>
      </c>
      <c r="AA13" s="36">
        <v>11</v>
      </c>
      <c r="AB13" s="11">
        <v>11</v>
      </c>
      <c r="AC13" s="11">
        <v>11</v>
      </c>
      <c r="AD13" s="11">
        <v>11</v>
      </c>
      <c r="AE13" s="11">
        <v>11</v>
      </c>
      <c r="AF13" s="11">
        <v>11</v>
      </c>
      <c r="AG13" s="36">
        <v>11</v>
      </c>
      <c r="AH13" s="36">
        <v>11</v>
      </c>
      <c r="AI13" s="17">
        <f t="shared" si="2"/>
        <v>286</v>
      </c>
      <c r="AJ13" s="7">
        <f t="shared" si="3"/>
        <v>26</v>
      </c>
      <c r="AK13" s="14"/>
    </row>
    <row r="14" spans="1:37" ht="25.15" customHeight="1">
      <c r="A14" s="24">
        <v>40</v>
      </c>
      <c r="B14" s="12" t="s">
        <v>22</v>
      </c>
      <c r="C14" s="11" t="s">
        <v>12</v>
      </c>
      <c r="D14" s="11" t="s">
        <v>9</v>
      </c>
      <c r="E14" s="36" t="s">
        <v>9</v>
      </c>
      <c r="F14" s="36" t="s">
        <v>9</v>
      </c>
      <c r="G14" s="11" t="s">
        <v>9</v>
      </c>
      <c r="H14" s="11" t="s">
        <v>9</v>
      </c>
      <c r="I14" s="11" t="s">
        <v>9</v>
      </c>
      <c r="J14" s="11" t="s">
        <v>9</v>
      </c>
      <c r="K14" s="11" t="s">
        <v>9</v>
      </c>
      <c r="L14" s="40" t="s">
        <v>9</v>
      </c>
      <c r="M14" s="40" t="s">
        <v>9</v>
      </c>
      <c r="N14" s="11" t="s">
        <v>9</v>
      </c>
      <c r="O14" s="11" t="s">
        <v>9</v>
      </c>
      <c r="P14" s="11" t="s">
        <v>9</v>
      </c>
      <c r="Q14" s="9" t="s">
        <v>9</v>
      </c>
      <c r="R14" s="9" t="s">
        <v>9</v>
      </c>
      <c r="S14" s="36" t="s">
        <v>9</v>
      </c>
      <c r="T14" s="36" t="s">
        <v>9</v>
      </c>
      <c r="U14" s="11" t="s">
        <v>9</v>
      </c>
      <c r="V14" s="11" t="s">
        <v>9</v>
      </c>
      <c r="W14" s="11" t="s">
        <v>9</v>
      </c>
      <c r="X14" s="11" t="s">
        <v>9</v>
      </c>
      <c r="Y14" s="9" t="s">
        <v>9</v>
      </c>
      <c r="Z14" s="40" t="s">
        <v>9</v>
      </c>
      <c r="AA14" s="40" t="s">
        <v>9</v>
      </c>
      <c r="AB14" s="9" t="s">
        <v>9</v>
      </c>
      <c r="AC14" s="9" t="s">
        <v>9</v>
      </c>
      <c r="AD14" s="9" t="s">
        <v>9</v>
      </c>
      <c r="AE14" s="9" t="s">
        <v>9</v>
      </c>
      <c r="AF14" s="11" t="s">
        <v>9</v>
      </c>
      <c r="AG14" s="36" t="s">
        <v>9</v>
      </c>
      <c r="AH14" s="36" t="s">
        <v>9</v>
      </c>
      <c r="AI14" s="17">
        <f t="shared" si="2"/>
        <v>0</v>
      </c>
      <c r="AJ14" s="7">
        <f t="shared" si="3"/>
        <v>0</v>
      </c>
      <c r="AK14" s="14"/>
    </row>
    <row r="15" spans="1:37" ht="25.15" customHeight="1">
      <c r="A15" s="4">
        <v>41</v>
      </c>
      <c r="B15" s="8" t="s">
        <v>23</v>
      </c>
      <c r="C15" s="10" t="s">
        <v>12</v>
      </c>
      <c r="D15" s="25"/>
      <c r="E15" s="22"/>
      <c r="F15" s="22"/>
      <c r="G15" s="22"/>
      <c r="H15" s="22"/>
      <c r="I15" s="22"/>
      <c r="J15" s="22"/>
      <c r="K15" s="22"/>
      <c r="L15" s="23"/>
      <c r="M15" s="23"/>
      <c r="N15" s="22"/>
      <c r="O15" s="22"/>
      <c r="P15" s="22"/>
      <c r="Q15" s="23"/>
      <c r="R15" s="23"/>
      <c r="S15" s="22"/>
      <c r="T15" s="22"/>
      <c r="U15" s="22"/>
      <c r="V15" s="22"/>
      <c r="W15" s="22"/>
      <c r="X15" s="25"/>
      <c r="Y15" s="23"/>
      <c r="Z15" s="23"/>
      <c r="AA15" s="23"/>
      <c r="AB15" s="23"/>
      <c r="AC15" s="23"/>
      <c r="AD15" s="23"/>
      <c r="AE15" s="23"/>
      <c r="AF15" s="22"/>
      <c r="AG15" s="22"/>
      <c r="AH15" s="22"/>
      <c r="AI15" s="17">
        <f t="shared" si="2"/>
        <v>0</v>
      </c>
      <c r="AJ15" s="7">
        <f t="shared" si="3"/>
        <v>0</v>
      </c>
      <c r="AK15" s="14"/>
    </row>
    <row r="16" spans="1:37" ht="25.15" customHeight="1">
      <c r="A16" s="24">
        <v>44</v>
      </c>
      <c r="B16" s="12" t="s">
        <v>24</v>
      </c>
      <c r="C16" s="11" t="s">
        <v>12</v>
      </c>
      <c r="D16" s="11">
        <v>11</v>
      </c>
      <c r="E16" s="36">
        <v>11</v>
      </c>
      <c r="F16" s="36" t="s">
        <v>10</v>
      </c>
      <c r="G16" s="11">
        <v>11</v>
      </c>
      <c r="H16" s="11">
        <v>11</v>
      </c>
      <c r="I16" s="11">
        <v>11</v>
      </c>
      <c r="J16" s="11">
        <v>11</v>
      </c>
      <c r="K16" s="11">
        <v>11</v>
      </c>
      <c r="L16" s="36">
        <v>11</v>
      </c>
      <c r="M16" s="36" t="s">
        <v>10</v>
      </c>
      <c r="N16" s="11">
        <v>11</v>
      </c>
      <c r="O16" s="11">
        <v>11</v>
      </c>
      <c r="P16" s="11">
        <v>11</v>
      </c>
      <c r="Q16" s="11">
        <v>11</v>
      </c>
      <c r="R16" s="11">
        <v>11</v>
      </c>
      <c r="S16" s="40">
        <v>11</v>
      </c>
      <c r="T16" s="40">
        <v>11</v>
      </c>
      <c r="U16" s="9">
        <v>11</v>
      </c>
      <c r="V16" s="11">
        <v>11</v>
      </c>
      <c r="W16" s="11">
        <v>11</v>
      </c>
      <c r="X16" s="11" t="s">
        <v>7</v>
      </c>
      <c r="Y16" s="11" t="s">
        <v>7</v>
      </c>
      <c r="Z16" s="36" t="s">
        <v>10</v>
      </c>
      <c r="AA16" s="36" t="s">
        <v>10</v>
      </c>
      <c r="AB16" s="11" t="s">
        <v>7</v>
      </c>
      <c r="AC16" s="11" t="s">
        <v>7</v>
      </c>
      <c r="AD16" s="11" t="s">
        <v>7</v>
      </c>
      <c r="AE16" s="11" t="s">
        <v>7</v>
      </c>
      <c r="AF16" s="11" t="s">
        <v>7</v>
      </c>
      <c r="AG16" s="36" t="s">
        <v>10</v>
      </c>
      <c r="AH16" s="36" t="s">
        <v>14</v>
      </c>
      <c r="AI16" s="17">
        <f t="shared" si="2"/>
        <v>198</v>
      </c>
      <c r="AJ16" s="7">
        <f t="shared" si="3"/>
        <v>18</v>
      </c>
      <c r="AK16" s="14"/>
    </row>
    <row r="17" spans="1:37" ht="25.15" customHeight="1">
      <c r="A17" s="4">
        <v>45</v>
      </c>
      <c r="B17" s="12" t="s">
        <v>25</v>
      </c>
      <c r="C17" s="11" t="s">
        <v>12</v>
      </c>
      <c r="D17" s="11" t="s">
        <v>9</v>
      </c>
      <c r="E17" s="36" t="s">
        <v>9</v>
      </c>
      <c r="F17" s="36" t="s">
        <v>9</v>
      </c>
      <c r="G17" s="11" t="s">
        <v>9</v>
      </c>
      <c r="H17" s="11" t="s">
        <v>9</v>
      </c>
      <c r="I17" s="11" t="s">
        <v>9</v>
      </c>
      <c r="J17" s="11" t="s">
        <v>9</v>
      </c>
      <c r="K17" s="11" t="s">
        <v>9</v>
      </c>
      <c r="L17" s="40" t="s">
        <v>9</v>
      </c>
      <c r="M17" s="40" t="s">
        <v>9</v>
      </c>
      <c r="N17" s="11" t="s">
        <v>9</v>
      </c>
      <c r="O17" s="11" t="s">
        <v>9</v>
      </c>
      <c r="P17" s="11" t="s">
        <v>9</v>
      </c>
      <c r="Q17" s="9" t="s">
        <v>9</v>
      </c>
      <c r="R17" s="9" t="s">
        <v>9</v>
      </c>
      <c r="S17" s="36" t="s">
        <v>9</v>
      </c>
      <c r="T17" s="36" t="s">
        <v>9</v>
      </c>
      <c r="U17" s="11" t="s">
        <v>9</v>
      </c>
      <c r="V17" s="11" t="s">
        <v>9</v>
      </c>
      <c r="W17" s="11" t="s">
        <v>9</v>
      </c>
      <c r="X17" s="11" t="s">
        <v>9</v>
      </c>
      <c r="Y17" s="11" t="s">
        <v>9</v>
      </c>
      <c r="Z17" s="36" t="s">
        <v>9</v>
      </c>
      <c r="AA17" s="36" t="s">
        <v>9</v>
      </c>
      <c r="AB17" s="11" t="s">
        <v>9</v>
      </c>
      <c r="AC17" s="11" t="s">
        <v>9</v>
      </c>
      <c r="AD17" s="11" t="s">
        <v>9</v>
      </c>
      <c r="AE17" s="11" t="s">
        <v>9</v>
      </c>
      <c r="AF17" s="11" t="s">
        <v>9</v>
      </c>
      <c r="AG17" s="36" t="s">
        <v>9</v>
      </c>
      <c r="AH17" s="36" t="s">
        <v>9</v>
      </c>
      <c r="AI17" s="17">
        <f t="shared" si="2"/>
        <v>0</v>
      </c>
      <c r="AJ17" s="7">
        <f t="shared" si="3"/>
        <v>0</v>
      </c>
      <c r="AK17" s="14"/>
    </row>
    <row r="18" spans="1:37" ht="25.15" customHeight="1">
      <c r="A18" s="24">
        <v>50</v>
      </c>
      <c r="B18" s="6" t="s">
        <v>26</v>
      </c>
      <c r="C18" s="18" t="s">
        <v>12</v>
      </c>
      <c r="D18" s="25"/>
      <c r="E18" s="30"/>
      <c r="F18" s="30"/>
      <c r="G18" s="22"/>
      <c r="H18" s="22"/>
      <c r="I18" s="22"/>
      <c r="J18" s="22"/>
      <c r="K18" s="22"/>
      <c r="L18" s="23"/>
      <c r="M18" s="23"/>
      <c r="N18" s="22"/>
      <c r="O18" s="22"/>
      <c r="P18" s="22"/>
      <c r="Q18" s="23"/>
      <c r="R18" s="23"/>
      <c r="S18" s="22"/>
      <c r="T18" s="22"/>
      <c r="U18" s="22"/>
      <c r="V18" s="22"/>
      <c r="W18" s="22"/>
      <c r="X18" s="25"/>
      <c r="Y18" s="23"/>
      <c r="Z18" s="23"/>
      <c r="AA18" s="23"/>
      <c r="AB18" s="23"/>
      <c r="AC18" s="23"/>
      <c r="AD18" s="23"/>
      <c r="AE18" s="23"/>
      <c r="AF18" s="22"/>
      <c r="AG18" s="22"/>
      <c r="AH18" s="30"/>
      <c r="AI18" s="17">
        <f t="shared" si="2"/>
        <v>0</v>
      </c>
      <c r="AJ18" s="7">
        <f t="shared" si="3"/>
        <v>0</v>
      </c>
      <c r="AK18" s="14"/>
    </row>
    <row r="19" spans="1:37" ht="25.15" customHeight="1">
      <c r="A19" s="4">
        <v>51</v>
      </c>
      <c r="B19" s="8" t="s">
        <v>27</v>
      </c>
      <c r="C19" s="10" t="s">
        <v>12</v>
      </c>
      <c r="D19" s="11">
        <v>11</v>
      </c>
      <c r="E19" s="36">
        <v>11</v>
      </c>
      <c r="F19" s="36">
        <v>11</v>
      </c>
      <c r="G19" s="11">
        <v>11</v>
      </c>
      <c r="H19" s="11">
        <v>11</v>
      </c>
      <c r="I19" s="11">
        <v>11</v>
      </c>
      <c r="J19" s="11">
        <v>11</v>
      </c>
      <c r="K19" s="11">
        <v>11</v>
      </c>
      <c r="L19" s="40">
        <v>11</v>
      </c>
      <c r="M19" s="40" t="s">
        <v>10</v>
      </c>
      <c r="N19" s="11">
        <v>11</v>
      </c>
      <c r="O19" s="11">
        <v>11</v>
      </c>
      <c r="P19" s="11" t="s">
        <v>7</v>
      </c>
      <c r="Q19" s="9">
        <v>11</v>
      </c>
      <c r="R19" s="9">
        <v>11</v>
      </c>
      <c r="S19" s="36">
        <v>11</v>
      </c>
      <c r="T19" s="36">
        <v>11</v>
      </c>
      <c r="U19" s="11">
        <v>11</v>
      </c>
      <c r="V19" s="11">
        <v>11</v>
      </c>
      <c r="W19" s="11">
        <v>11</v>
      </c>
      <c r="X19" s="21">
        <v>11</v>
      </c>
      <c r="Y19" s="9">
        <v>11</v>
      </c>
      <c r="Z19" s="40">
        <v>11</v>
      </c>
      <c r="AA19" s="40">
        <v>11</v>
      </c>
      <c r="AB19" s="9">
        <v>11</v>
      </c>
      <c r="AC19" s="9">
        <v>11</v>
      </c>
      <c r="AD19" s="9">
        <v>11</v>
      </c>
      <c r="AE19" s="9">
        <v>11</v>
      </c>
      <c r="AF19" s="11">
        <v>11</v>
      </c>
      <c r="AG19" s="36">
        <v>11</v>
      </c>
      <c r="AH19" s="36">
        <v>11</v>
      </c>
      <c r="AI19" s="17">
        <f t="shared" si="2"/>
        <v>319</v>
      </c>
      <c r="AJ19" s="7">
        <f t="shared" si="3"/>
        <v>29</v>
      </c>
      <c r="AK19" s="14"/>
    </row>
    <row r="20" spans="1:37" ht="25.15" customHeight="1">
      <c r="A20" s="24">
        <v>60</v>
      </c>
      <c r="B20" s="8" t="s">
        <v>28</v>
      </c>
      <c r="C20" s="10" t="s">
        <v>12</v>
      </c>
      <c r="D20" s="11">
        <v>11</v>
      </c>
      <c r="E20" s="36">
        <v>11</v>
      </c>
      <c r="F20" s="36">
        <v>11</v>
      </c>
      <c r="G20" s="11">
        <v>11</v>
      </c>
      <c r="H20" s="11">
        <v>11</v>
      </c>
      <c r="I20" s="11">
        <v>11</v>
      </c>
      <c r="J20" s="11">
        <v>11</v>
      </c>
      <c r="K20" s="11">
        <v>11</v>
      </c>
      <c r="L20" s="36">
        <v>11</v>
      </c>
      <c r="M20" s="36" t="s">
        <v>10</v>
      </c>
      <c r="N20" s="11">
        <v>11</v>
      </c>
      <c r="O20" s="11">
        <v>11</v>
      </c>
      <c r="P20" s="11">
        <v>11</v>
      </c>
      <c r="Q20" s="11">
        <v>11</v>
      </c>
      <c r="R20" s="11">
        <v>11</v>
      </c>
      <c r="S20" s="36">
        <v>11</v>
      </c>
      <c r="T20" s="36">
        <v>11</v>
      </c>
      <c r="U20" s="11">
        <v>11</v>
      </c>
      <c r="V20" s="11">
        <v>11</v>
      </c>
      <c r="W20" s="11">
        <v>11</v>
      </c>
      <c r="X20" s="11">
        <v>11</v>
      </c>
      <c r="Y20" s="11">
        <v>11</v>
      </c>
      <c r="Z20" s="36">
        <v>11</v>
      </c>
      <c r="AA20" s="36">
        <v>11</v>
      </c>
      <c r="AB20" s="11" t="s">
        <v>7</v>
      </c>
      <c r="AC20" s="11">
        <v>11</v>
      </c>
      <c r="AD20" s="11">
        <v>11</v>
      </c>
      <c r="AE20" s="11">
        <v>11</v>
      </c>
      <c r="AF20" s="11">
        <v>11</v>
      </c>
      <c r="AG20" s="36">
        <v>11</v>
      </c>
      <c r="AH20" s="36">
        <v>11</v>
      </c>
      <c r="AI20" s="17">
        <f t="shared" ref="AI20:AI25" si="4">SUM(D20:AH20)</f>
        <v>319</v>
      </c>
      <c r="AJ20" s="7">
        <f t="shared" ref="AJ20:AJ25" si="5">COUNT(D20:AH20)</f>
        <v>29</v>
      </c>
      <c r="AK20" s="14"/>
    </row>
    <row r="21" spans="1:37" ht="25.15" customHeight="1">
      <c r="A21" s="24">
        <v>62</v>
      </c>
      <c r="B21" s="12" t="s">
        <v>29</v>
      </c>
      <c r="C21" s="10" t="s">
        <v>12</v>
      </c>
      <c r="D21" s="11" t="s">
        <v>9</v>
      </c>
      <c r="E21" s="36" t="s">
        <v>9</v>
      </c>
      <c r="F21" s="36" t="s">
        <v>9</v>
      </c>
      <c r="G21" s="11" t="s">
        <v>9</v>
      </c>
      <c r="H21" s="11" t="s">
        <v>9</v>
      </c>
      <c r="I21" s="11" t="s">
        <v>9</v>
      </c>
      <c r="J21" s="11" t="s">
        <v>9</v>
      </c>
      <c r="K21" s="11" t="s">
        <v>9</v>
      </c>
      <c r="L21" s="40" t="s">
        <v>9</v>
      </c>
      <c r="M21" s="40" t="s">
        <v>9</v>
      </c>
      <c r="N21" s="11" t="s">
        <v>9</v>
      </c>
      <c r="O21" s="11" t="s">
        <v>9</v>
      </c>
      <c r="P21" s="11" t="s">
        <v>9</v>
      </c>
      <c r="Q21" s="9" t="s">
        <v>9</v>
      </c>
      <c r="R21" s="9" t="s">
        <v>9</v>
      </c>
      <c r="S21" s="36" t="s">
        <v>9</v>
      </c>
      <c r="T21" s="36" t="s">
        <v>9</v>
      </c>
      <c r="U21" s="11" t="s">
        <v>9</v>
      </c>
      <c r="V21" s="11" t="s">
        <v>9</v>
      </c>
      <c r="W21" s="11" t="s">
        <v>9</v>
      </c>
      <c r="X21" s="11" t="s">
        <v>9</v>
      </c>
      <c r="Y21" s="11" t="s">
        <v>9</v>
      </c>
      <c r="Z21" s="36" t="s">
        <v>14</v>
      </c>
      <c r="AA21" s="36" t="s">
        <v>14</v>
      </c>
      <c r="AB21" s="11">
        <v>11</v>
      </c>
      <c r="AC21" s="11">
        <v>11</v>
      </c>
      <c r="AD21" s="11">
        <v>11</v>
      </c>
      <c r="AE21" s="11">
        <v>11</v>
      </c>
      <c r="AF21" s="11">
        <v>11</v>
      </c>
      <c r="AG21" s="36">
        <v>11</v>
      </c>
      <c r="AH21" s="36">
        <v>11</v>
      </c>
      <c r="AI21" s="17">
        <f t="shared" si="4"/>
        <v>77</v>
      </c>
      <c r="AJ21" s="7">
        <f t="shared" si="5"/>
        <v>7</v>
      </c>
      <c r="AK21" s="14"/>
    </row>
    <row r="22" spans="1:37" ht="25.15" customHeight="1">
      <c r="A22" s="24">
        <v>66</v>
      </c>
      <c r="B22" s="8" t="s">
        <v>30</v>
      </c>
      <c r="C22" s="11" t="s">
        <v>12</v>
      </c>
      <c r="D22" s="25"/>
      <c r="E22" s="22"/>
      <c r="F22" s="22"/>
      <c r="G22" s="22"/>
      <c r="H22" s="22"/>
      <c r="I22" s="22"/>
      <c r="J22" s="22"/>
      <c r="K22" s="22"/>
      <c r="L22" s="23"/>
      <c r="M22" s="23"/>
      <c r="N22" s="22"/>
      <c r="O22" s="22"/>
      <c r="P22" s="22"/>
      <c r="Q22" s="23"/>
      <c r="R22" s="23"/>
      <c r="S22" s="22"/>
      <c r="T22" s="22"/>
      <c r="U22" s="22"/>
      <c r="V22" s="22"/>
      <c r="W22" s="22"/>
      <c r="X22" s="25"/>
      <c r="Y22" s="23"/>
      <c r="Z22" s="23"/>
      <c r="AA22" s="23"/>
      <c r="AB22" s="23"/>
      <c r="AC22" s="23"/>
      <c r="AD22" s="23"/>
      <c r="AE22" s="23"/>
      <c r="AF22" s="22"/>
      <c r="AG22" s="22"/>
      <c r="AH22" s="22"/>
      <c r="AI22" s="17">
        <f t="shared" si="4"/>
        <v>0</v>
      </c>
      <c r="AJ22" s="7">
        <f t="shared" si="5"/>
        <v>0</v>
      </c>
      <c r="AK22" s="14"/>
    </row>
    <row r="23" spans="1:37" ht="25.15" customHeight="1">
      <c r="A23" s="4">
        <v>75</v>
      </c>
      <c r="B23" s="12" t="s">
        <v>31</v>
      </c>
      <c r="C23" s="10" t="s">
        <v>12</v>
      </c>
      <c r="D23" s="9" t="s">
        <v>9</v>
      </c>
      <c r="E23" s="40" t="s">
        <v>9</v>
      </c>
      <c r="F23" s="40" t="s">
        <v>9</v>
      </c>
      <c r="G23" s="11" t="s">
        <v>9</v>
      </c>
      <c r="H23" s="11" t="s">
        <v>9</v>
      </c>
      <c r="I23" s="11" t="s">
        <v>9</v>
      </c>
      <c r="J23" s="11" t="s">
        <v>9</v>
      </c>
      <c r="K23" s="11" t="s">
        <v>9</v>
      </c>
      <c r="L23" s="40" t="s">
        <v>9</v>
      </c>
      <c r="M23" s="40" t="s">
        <v>9</v>
      </c>
      <c r="N23" s="11" t="s">
        <v>9</v>
      </c>
      <c r="O23" s="11" t="s">
        <v>9</v>
      </c>
      <c r="P23" s="11" t="s">
        <v>9</v>
      </c>
      <c r="Q23" s="9" t="s">
        <v>9</v>
      </c>
      <c r="R23" s="9" t="s">
        <v>9</v>
      </c>
      <c r="S23" s="36" t="s">
        <v>9</v>
      </c>
      <c r="T23" s="36" t="s">
        <v>9</v>
      </c>
      <c r="U23" s="11" t="s">
        <v>9</v>
      </c>
      <c r="V23" s="11" t="s">
        <v>9</v>
      </c>
      <c r="W23" s="11" t="s">
        <v>9</v>
      </c>
      <c r="X23" s="11" t="s">
        <v>9</v>
      </c>
      <c r="Y23" s="9" t="s">
        <v>9</v>
      </c>
      <c r="Z23" s="40" t="s">
        <v>9</v>
      </c>
      <c r="AA23" s="40" t="s">
        <v>9</v>
      </c>
      <c r="AB23" s="9" t="s">
        <v>9</v>
      </c>
      <c r="AC23" s="9" t="s">
        <v>9</v>
      </c>
      <c r="AD23" s="9" t="s">
        <v>9</v>
      </c>
      <c r="AE23" s="9" t="s">
        <v>9</v>
      </c>
      <c r="AF23" s="11" t="s">
        <v>9</v>
      </c>
      <c r="AG23" s="36" t="s">
        <v>9</v>
      </c>
      <c r="AH23" s="36" t="s">
        <v>9</v>
      </c>
      <c r="AI23" s="17">
        <f t="shared" si="4"/>
        <v>0</v>
      </c>
      <c r="AJ23" s="7">
        <f t="shared" si="5"/>
        <v>0</v>
      </c>
      <c r="AK23" s="14"/>
    </row>
    <row r="24" spans="1:37" ht="25.15" customHeight="1">
      <c r="A24" s="4">
        <v>77</v>
      </c>
      <c r="B24" s="12" t="s">
        <v>32</v>
      </c>
      <c r="C24" s="10" t="s">
        <v>12</v>
      </c>
      <c r="D24" s="9" t="s">
        <v>9</v>
      </c>
      <c r="E24" s="40" t="s">
        <v>9</v>
      </c>
      <c r="F24" s="40" t="s">
        <v>9</v>
      </c>
      <c r="G24" s="11" t="s">
        <v>9</v>
      </c>
      <c r="H24" s="11" t="s">
        <v>9</v>
      </c>
      <c r="I24" s="11" t="s">
        <v>9</v>
      </c>
      <c r="J24" s="11" t="s">
        <v>9</v>
      </c>
      <c r="K24" s="11" t="s">
        <v>9</v>
      </c>
      <c r="L24" s="40" t="s">
        <v>9</v>
      </c>
      <c r="M24" s="40" t="s">
        <v>9</v>
      </c>
      <c r="N24" s="11" t="s">
        <v>9</v>
      </c>
      <c r="O24" s="11" t="s">
        <v>9</v>
      </c>
      <c r="P24" s="11" t="s">
        <v>9</v>
      </c>
      <c r="Q24" s="9" t="s">
        <v>9</v>
      </c>
      <c r="R24" s="9" t="s">
        <v>9</v>
      </c>
      <c r="S24" s="36" t="s">
        <v>9</v>
      </c>
      <c r="T24" s="36" t="s">
        <v>9</v>
      </c>
      <c r="U24" s="11" t="s">
        <v>9</v>
      </c>
      <c r="V24" s="11" t="s">
        <v>9</v>
      </c>
      <c r="W24" s="11" t="s">
        <v>9</v>
      </c>
      <c r="X24" s="11" t="s">
        <v>9</v>
      </c>
      <c r="Y24" s="9" t="s">
        <v>9</v>
      </c>
      <c r="Z24" s="40" t="s">
        <v>9</v>
      </c>
      <c r="AA24" s="40" t="s">
        <v>9</v>
      </c>
      <c r="AB24" s="9" t="s">
        <v>9</v>
      </c>
      <c r="AC24" s="9" t="s">
        <v>9</v>
      </c>
      <c r="AD24" s="9" t="s">
        <v>9</v>
      </c>
      <c r="AE24" s="9" t="s">
        <v>9</v>
      </c>
      <c r="AF24" s="11" t="s">
        <v>9</v>
      </c>
      <c r="AG24" s="36" t="s">
        <v>9</v>
      </c>
      <c r="AH24" s="36" t="s">
        <v>9</v>
      </c>
      <c r="AI24" s="17">
        <f t="shared" si="4"/>
        <v>0</v>
      </c>
      <c r="AJ24" s="7">
        <f t="shared" si="5"/>
        <v>0</v>
      </c>
      <c r="AK24" s="14"/>
    </row>
    <row r="25" spans="1:37" ht="25.15" customHeight="1">
      <c r="A25" s="24">
        <v>84</v>
      </c>
      <c r="B25" s="39" t="s">
        <v>34</v>
      </c>
      <c r="C25" s="11" t="s">
        <v>12</v>
      </c>
      <c r="D25" s="9" t="s">
        <v>9</v>
      </c>
      <c r="E25" s="40" t="s">
        <v>9</v>
      </c>
      <c r="F25" s="40" t="s">
        <v>9</v>
      </c>
      <c r="G25" s="11" t="s">
        <v>9</v>
      </c>
      <c r="H25" s="11" t="s">
        <v>9</v>
      </c>
      <c r="I25" s="11" t="s">
        <v>9</v>
      </c>
      <c r="J25" s="11" t="s">
        <v>9</v>
      </c>
      <c r="K25" s="11" t="s">
        <v>9</v>
      </c>
      <c r="L25" s="40" t="s">
        <v>9</v>
      </c>
      <c r="M25" s="40" t="s">
        <v>9</v>
      </c>
      <c r="N25" s="11" t="s">
        <v>9</v>
      </c>
      <c r="O25" s="11" t="s">
        <v>9</v>
      </c>
      <c r="P25" s="11" t="s">
        <v>9</v>
      </c>
      <c r="Q25" s="9" t="s">
        <v>9</v>
      </c>
      <c r="R25" s="9" t="s">
        <v>9</v>
      </c>
      <c r="S25" s="36" t="s">
        <v>9</v>
      </c>
      <c r="T25" s="36" t="s">
        <v>9</v>
      </c>
      <c r="U25" s="11" t="s">
        <v>9</v>
      </c>
      <c r="V25" s="11" t="s">
        <v>9</v>
      </c>
      <c r="W25" s="11" t="s">
        <v>9</v>
      </c>
      <c r="X25" s="11" t="s">
        <v>9</v>
      </c>
      <c r="Y25" s="9" t="s">
        <v>9</v>
      </c>
      <c r="Z25" s="40" t="s">
        <v>9</v>
      </c>
      <c r="AA25" s="40" t="s">
        <v>9</v>
      </c>
      <c r="AB25" s="9" t="s">
        <v>9</v>
      </c>
      <c r="AC25" s="9" t="s">
        <v>9</v>
      </c>
      <c r="AD25" s="9" t="s">
        <v>9</v>
      </c>
      <c r="AE25" s="9" t="s">
        <v>9</v>
      </c>
      <c r="AF25" s="11" t="s">
        <v>9</v>
      </c>
      <c r="AG25" s="36" t="s">
        <v>9</v>
      </c>
      <c r="AH25" s="36" t="s">
        <v>9</v>
      </c>
      <c r="AI25" s="17">
        <f t="shared" si="4"/>
        <v>0</v>
      </c>
      <c r="AJ25" s="7">
        <f t="shared" si="5"/>
        <v>0</v>
      </c>
      <c r="AK25" s="14"/>
    </row>
    <row r="26" spans="1:37" ht="25.15" customHeight="1">
      <c r="A26" s="24">
        <v>88</v>
      </c>
      <c r="B26" s="39" t="s">
        <v>35</v>
      </c>
      <c r="C26" s="11" t="s">
        <v>12</v>
      </c>
      <c r="D26" s="9" t="s">
        <v>9</v>
      </c>
      <c r="E26" s="40" t="s">
        <v>9</v>
      </c>
      <c r="F26" s="40" t="s">
        <v>9</v>
      </c>
      <c r="G26" s="11" t="s">
        <v>9</v>
      </c>
      <c r="H26" s="11" t="s">
        <v>9</v>
      </c>
      <c r="I26" s="11" t="s">
        <v>9</v>
      </c>
      <c r="J26" s="11" t="s">
        <v>9</v>
      </c>
      <c r="K26" s="11" t="s">
        <v>9</v>
      </c>
      <c r="L26" s="40" t="s">
        <v>9</v>
      </c>
      <c r="M26" s="40" t="s">
        <v>9</v>
      </c>
      <c r="N26" s="11" t="s">
        <v>9</v>
      </c>
      <c r="O26" s="11" t="s">
        <v>9</v>
      </c>
      <c r="P26" s="11" t="s">
        <v>9</v>
      </c>
      <c r="Q26" s="9" t="s">
        <v>9</v>
      </c>
      <c r="R26" s="9" t="s">
        <v>9</v>
      </c>
      <c r="S26" s="36" t="s">
        <v>9</v>
      </c>
      <c r="T26" s="36" t="s">
        <v>9</v>
      </c>
      <c r="U26" s="11" t="s">
        <v>9</v>
      </c>
      <c r="V26" s="11" t="s">
        <v>9</v>
      </c>
      <c r="W26" s="11" t="s">
        <v>9</v>
      </c>
      <c r="X26" s="11" t="s">
        <v>9</v>
      </c>
      <c r="Y26" s="9" t="s">
        <v>9</v>
      </c>
      <c r="Z26" s="40" t="s">
        <v>9</v>
      </c>
      <c r="AA26" s="40" t="s">
        <v>9</v>
      </c>
      <c r="AB26" s="9" t="s">
        <v>9</v>
      </c>
      <c r="AC26" s="9" t="s">
        <v>9</v>
      </c>
      <c r="AD26" s="9" t="s">
        <v>9</v>
      </c>
      <c r="AE26" s="9" t="s">
        <v>9</v>
      </c>
      <c r="AF26" s="11" t="s">
        <v>9</v>
      </c>
      <c r="AG26" s="36" t="s">
        <v>9</v>
      </c>
      <c r="AH26" s="36" t="s">
        <v>9</v>
      </c>
      <c r="AI26" s="17">
        <f t="shared" ref="AI26" si="6">SUM(D26:AH26)</f>
        <v>0</v>
      </c>
      <c r="AJ26" s="7">
        <f t="shared" ref="AJ26" si="7">COUNT(D26:AH26)</f>
        <v>0</v>
      </c>
      <c r="AK26" s="14"/>
    </row>
    <row r="28" spans="1:37">
      <c r="T28" s="44"/>
    </row>
  </sheetData>
  <autoFilter ref="A4:AJ26" xr:uid="{00000000-0009-0000-0000-000004000000}"/>
  <mergeCells count="6">
    <mergeCell ref="AI1:AI3"/>
    <mergeCell ref="AJ1:AJ3"/>
    <mergeCell ref="D1:AH2"/>
    <mergeCell ref="A1:A3"/>
    <mergeCell ref="B1:B3"/>
    <mergeCell ref="C1:C3"/>
  </mergeCells>
  <conditionalFormatting sqref="B6:B7">
    <cfRule type="duplicateValues" dxfId="4" priority="586"/>
  </conditionalFormatting>
  <conditionalFormatting sqref="B8">
    <cfRule type="duplicateValues" dxfId="3" priority="186"/>
  </conditionalFormatting>
  <conditionalFormatting sqref="B11">
    <cfRule type="duplicateValues" dxfId="2" priority="180"/>
  </conditionalFormatting>
  <conditionalFormatting sqref="B18">
    <cfRule type="duplicateValues" dxfId="1" priority="192"/>
  </conditionalFormatting>
  <conditionalFormatting sqref="B25">
    <cfRule type="duplicateValues" dxfId="0" priority="583"/>
  </conditionalFormatting>
  <pageMargins left="0.35433070866141703" right="0.35433070866141703" top="0.98425196850393704" bottom="0.39370078740157499" header="0.511811023622047" footer="0.511811023622047"/>
  <pageSetup paperSize="9" scale="51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апрель</vt:lpstr>
      <vt:lpstr>май</vt:lpstr>
      <vt:lpstr>июнь</vt:lpstr>
      <vt:lpstr>ИЮЛЬ</vt:lpstr>
      <vt:lpstr>АВГУСТ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PTO-MKran</dc:creator>
  <cp:lastModifiedBy>Рыбкин Андрей</cp:lastModifiedBy>
  <cp:lastPrinted>2025-09-09T14:19:00Z</cp:lastPrinted>
  <dcterms:created xsi:type="dcterms:W3CDTF">2006-09-16T00:00:00Z</dcterms:created>
  <dcterms:modified xsi:type="dcterms:W3CDTF">2025-12-26T10:29:00Z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3CDF115CCB594FBB9A418924DD0553D6_13</vt:lpwstr>
  </property>
  <property fmtid="{D5CDD505-2E9C-101B-9397-08002B2CF9AE}" pid="3" name="KSOProductBuildVer">
    <vt:lpwstr>1049-12.2.0.23196</vt:lpwstr>
  </property>
</Properties>
</file>